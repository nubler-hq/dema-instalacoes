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lip\OneDrive\Área de Trabalho\Empresa\Obras 2025\JURUTI\PEDIDOS\ELÉTRICA\"/>
    </mc:Choice>
  </mc:AlternateContent>
  <xr:revisionPtr revIDLastSave="0" documentId="8_{FD4FEDFB-CE20-48C3-A354-99E6AC877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D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F31" i="1"/>
  <c r="F30" i="1"/>
  <c r="F36" i="1" s="1"/>
  <c r="F39" i="1" s="1"/>
</calcChain>
</file>

<file path=xl/sharedStrings.xml><?xml version="1.0" encoding="utf-8"?>
<sst xmlns="http://schemas.openxmlformats.org/spreadsheetml/2006/main" count="64" uniqueCount="56">
  <si>
    <t>DEMA INST. ELÉTRICAS, HIDRÁULICAS E MANUTENÇÕES LTDA.</t>
  </si>
  <si>
    <t>AV. BRIGADEIRO LUÍS ANTÔNIO, 3097 - Sala 907 - JD. PAULISTA, SÃO PAULO - SP</t>
  </si>
  <si>
    <t>PEDIDO DE COMPRA N° 1 - ELETRICA</t>
  </si>
  <si>
    <t>PEDIDO INTERNO:</t>
  </si>
  <si>
    <t>Data:</t>
  </si>
  <si>
    <t>Fornecedor:</t>
  </si>
  <si>
    <t>FF GUARULHOS</t>
  </si>
  <si>
    <t>CNPJ:</t>
  </si>
  <si>
    <t>07.716.473/0001-39</t>
  </si>
  <si>
    <t>Inscrição Estadual:</t>
  </si>
  <si>
    <t>ISENTO</t>
  </si>
  <si>
    <t>End.:</t>
  </si>
  <si>
    <t>AV. SETE DE SETEMBRO, 2018 - VILA GALVÃO</t>
  </si>
  <si>
    <t>CONTATO</t>
  </si>
  <si>
    <t>SIDNY</t>
  </si>
  <si>
    <t>CEP:</t>
  </si>
  <si>
    <t>07064-002</t>
  </si>
  <si>
    <t>Tel/Contato:</t>
  </si>
  <si>
    <t>11 2453-6840</t>
  </si>
  <si>
    <t>Condições de Pgto.:</t>
  </si>
  <si>
    <t>30 DDL</t>
  </si>
  <si>
    <t>Faturamento:</t>
  </si>
  <si>
    <t>GTZ 84 INVESTIMENTOS IMOBILIÁRIOS SPE LTDA.</t>
  </si>
  <si>
    <t>48.950.512/0001-45</t>
  </si>
  <si>
    <t>ISENTA</t>
  </si>
  <si>
    <t>AV. IBIRAPUERA, 1753 - CJ-21 - INDIANÓPLIS-SP</t>
  </si>
  <si>
    <t>04029-100</t>
  </si>
  <si>
    <t>Telefone:</t>
  </si>
  <si>
    <t>11 -3050-0700</t>
  </si>
  <si>
    <t>Cobrança:</t>
  </si>
  <si>
    <t>Prazo de entrega:</t>
  </si>
  <si>
    <t>2 A 3 DIAS</t>
  </si>
  <si>
    <t>Local de entrega:</t>
  </si>
  <si>
    <t>AV. IBIRAPUERA, 2082 - INDIANÓPOLIS - SP.</t>
  </si>
  <si>
    <t>Horário para Entrega:</t>
  </si>
  <si>
    <t>Das 8:00hs às 12:00hs e das 13:00hs ás 16:00hs.</t>
  </si>
  <si>
    <t>NÃO SERÁ ACEITO EM HIPOTESE NENHUMA NEGOCIAÇÃO DE TÍTULOS CONTRA TERCEIROS</t>
  </si>
  <si>
    <t>ITEM</t>
  </si>
  <si>
    <t>QNT</t>
  </si>
  <si>
    <t>UNID.</t>
  </si>
  <si>
    <t>DESCRIÇÃO</t>
  </si>
  <si>
    <t>UNIT</t>
  </si>
  <si>
    <t>TOTAL</t>
  </si>
  <si>
    <t>RL</t>
  </si>
  <si>
    <t>CONDUÍTE REFORÇADO DE 3/4"</t>
  </si>
  <si>
    <t>PC</t>
  </si>
  <si>
    <t>CLIPS METÁLICO PARA CABO DE 50 MM</t>
  </si>
  <si>
    <t>MT</t>
  </si>
  <si>
    <t>CABO DE COBRE NU DE 50 MM CERTIFICADO</t>
  </si>
  <si>
    <t>CAIXA DE MASSA DE CALAFETAR</t>
  </si>
  <si>
    <t>CAIXA ATERRAMENTO TERM SEM TAMPA 250MM/H 250MM PRG</t>
  </si>
  <si>
    <t>TAMPA CIT 250MM AÇO FOGO PRG</t>
  </si>
  <si>
    <t>SUB TOTAL</t>
  </si>
  <si>
    <t>IPI</t>
  </si>
  <si>
    <t>DESCONTO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</si>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</sst>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10"/>
      <name val="Arial"/>
    </font>
    <font>
      <sz val="9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7" xfId="0" applyFont="1" applyBorder="1"/>
    <xf numFmtId="0" fontId="1" fillId="0" borderId="9" xfId="0" applyFont="1" applyBorder="1"/>
    <xf numFmtId="0" fontId="3" fillId="0" borderId="9" xfId="0" applyFont="1" applyBorder="1"/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0" xfId="0" applyFont="1"/>
    <xf numFmtId="0" fontId="4" fillId="0" borderId="7" xfId="0" applyFont="1" applyBorder="1"/>
    <xf numFmtId="0" fontId="4" fillId="0" borderId="8" xfId="0" applyFont="1" applyBorder="1"/>
    <xf numFmtId="0" fontId="5" fillId="0" borderId="0" xfId="0" applyFont="1" applyAlignment="1">
      <alignment horizontal="center"/>
    </xf>
    <xf numFmtId="4" fontId="6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/>
    <xf numFmtId="0" fontId="1" fillId="0" borderId="4" xfId="0" applyFont="1" applyBorder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14" fontId="1" fillId="0" borderId="1" xfId="0" applyNumberFormat="1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 applyAlignment="1">
      <alignment vertical="top"/>
    </xf>
    <xf numFmtId="0" fontId="0" fillId="0" borderId="0" xfId="0"/>
    <xf numFmtId="0" fontId="2" fillId="0" borderId="8" xfId="0" applyFont="1" applyBorder="1"/>
    <xf numFmtId="3" fontId="1" fillId="0" borderId="0" xfId="0" applyNumberFormat="1" applyFont="1"/>
    <xf numFmtId="0" fontId="3" fillId="0" borderId="1" xfId="0" applyFont="1" applyBorder="1"/>
    <xf numFmtId="0" fontId="1" fillId="0" borderId="7" xfId="0" applyFont="1" applyBorder="1"/>
    <xf numFmtId="0" fontId="1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0" borderId="4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8" fillId="0" borderId="9" xfId="0" applyFont="1" applyBorder="1"/>
    <xf numFmtId="44" fontId="3" fillId="0" borderId="9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4"/>
  <sheetViews>
    <sheetView tabSelected="1" topLeftCell="A3" workbookViewId="0">
      <selection activeCell="F30" sqref="F30:F35"/>
    </sheetView>
  </sheetViews>
  <sheetFormatPr defaultColWidth="12.6640625" defaultRowHeight="15.75" customHeight="1" x14ac:dyDescent="0.25"/>
  <cols>
    <col min="1" max="1" width="8.88671875" customWidth="1"/>
    <col min="2" max="2" width="7.21875" customWidth="1"/>
    <col min="3" max="3" width="8.21875" customWidth="1"/>
    <col min="4" max="4" width="58.33203125" customWidth="1"/>
  </cols>
  <sheetData>
    <row r="1" spans="1:6" x14ac:dyDescent="0.25">
      <c r="A1" s="12" t="s">
        <v>0</v>
      </c>
      <c r="B1" s="13"/>
      <c r="C1" s="13"/>
      <c r="D1" s="13"/>
      <c r="E1" s="13"/>
      <c r="F1" s="14"/>
    </row>
    <row r="2" spans="1:6" x14ac:dyDescent="0.25">
      <c r="A2" s="12" t="s">
        <v>1</v>
      </c>
      <c r="B2" s="13"/>
      <c r="C2" s="13"/>
      <c r="D2" s="13"/>
      <c r="E2" s="13"/>
      <c r="F2" s="14"/>
    </row>
    <row r="3" spans="1:6" x14ac:dyDescent="0.25">
      <c r="A3" s="12" t="s">
        <v>2</v>
      </c>
      <c r="B3" s="13"/>
      <c r="C3" s="13"/>
      <c r="D3" s="13"/>
      <c r="E3" s="13"/>
      <c r="F3" s="14"/>
    </row>
    <row r="4" spans="1:6" x14ac:dyDescent="0.25">
      <c r="A4" s="15" t="s">
        <v>3</v>
      </c>
      <c r="B4" s="13"/>
      <c r="C4" s="14"/>
      <c r="D4" s="16">
        <v>24711</v>
      </c>
      <c r="E4" s="17"/>
      <c r="F4" s="18"/>
    </row>
    <row r="5" spans="1:6" x14ac:dyDescent="0.25">
      <c r="A5" s="15" t="s">
        <v>4</v>
      </c>
      <c r="B5" s="13"/>
      <c r="C5" s="14"/>
      <c r="D5" s="19">
        <v>45924</v>
      </c>
      <c r="E5" s="13"/>
      <c r="F5" s="14"/>
    </row>
    <row r="6" spans="1:6" x14ac:dyDescent="0.25">
      <c r="A6" s="15" t="s">
        <v>5</v>
      </c>
      <c r="B6" s="13"/>
      <c r="C6" s="14"/>
      <c r="D6" s="20" t="s">
        <v>6</v>
      </c>
      <c r="E6" s="17"/>
      <c r="F6" s="18"/>
    </row>
    <row r="7" spans="1:6" x14ac:dyDescent="0.25">
      <c r="A7" s="15" t="s">
        <v>7</v>
      </c>
      <c r="B7" s="13"/>
      <c r="C7" s="14"/>
      <c r="D7" s="21" t="s">
        <v>8</v>
      </c>
      <c r="E7" s="22"/>
      <c r="F7" s="23"/>
    </row>
    <row r="8" spans="1:6" x14ac:dyDescent="0.25">
      <c r="A8" s="15" t="s">
        <v>9</v>
      </c>
      <c r="B8" s="13"/>
      <c r="C8" s="14"/>
      <c r="D8" s="24" t="s">
        <v>10</v>
      </c>
      <c r="E8" s="22"/>
      <c r="F8" s="23"/>
    </row>
    <row r="9" spans="1:6" x14ac:dyDescent="0.25">
      <c r="A9" s="15" t="s">
        <v>11</v>
      </c>
      <c r="B9" s="13"/>
      <c r="C9" s="14"/>
      <c r="D9" s="1" t="s">
        <v>12</v>
      </c>
      <c r="E9" s="2" t="s">
        <v>13</v>
      </c>
      <c r="F9" s="36" t="s">
        <v>14</v>
      </c>
    </row>
    <row r="10" spans="1:6" x14ac:dyDescent="0.25">
      <c r="A10" s="15" t="s">
        <v>15</v>
      </c>
      <c r="B10" s="13"/>
      <c r="C10" s="14"/>
      <c r="D10" s="26" t="s">
        <v>16</v>
      </c>
      <c r="E10" s="22"/>
      <c r="F10" s="23"/>
    </row>
    <row r="11" spans="1:6" x14ac:dyDescent="0.25">
      <c r="A11" s="15" t="s">
        <v>17</v>
      </c>
      <c r="B11" s="13"/>
      <c r="C11" s="14"/>
      <c r="D11" s="26" t="s">
        <v>18</v>
      </c>
      <c r="E11" s="22"/>
      <c r="F11" s="23"/>
    </row>
    <row r="12" spans="1:6" x14ac:dyDescent="0.25">
      <c r="A12" s="15" t="s">
        <v>19</v>
      </c>
      <c r="B12" s="13"/>
      <c r="C12" s="14"/>
      <c r="D12" s="27" t="s">
        <v>20</v>
      </c>
      <c r="E12" s="28"/>
      <c r="F12" s="29"/>
    </row>
    <row r="13" spans="1:6" x14ac:dyDescent="0.25">
      <c r="A13" s="25"/>
      <c r="B13" s="13"/>
      <c r="C13" s="13"/>
      <c r="D13" s="13"/>
      <c r="E13" s="13"/>
      <c r="F13" s="14"/>
    </row>
    <row r="14" spans="1:6" x14ac:dyDescent="0.25">
      <c r="A14" s="15" t="s">
        <v>21</v>
      </c>
      <c r="B14" s="13"/>
      <c r="C14" s="14"/>
      <c r="D14" s="33" t="s">
        <v>22</v>
      </c>
      <c r="E14" s="17"/>
      <c r="F14" s="18"/>
    </row>
    <row r="15" spans="1:6" x14ac:dyDescent="0.25">
      <c r="A15" s="15" t="s">
        <v>7</v>
      </c>
      <c r="B15" s="13"/>
      <c r="C15" s="14"/>
      <c r="D15" s="34" t="s">
        <v>23</v>
      </c>
      <c r="E15" s="22"/>
      <c r="F15" s="23"/>
    </row>
    <row r="16" spans="1:6" x14ac:dyDescent="0.25">
      <c r="A16" s="15" t="s">
        <v>9</v>
      </c>
      <c r="B16" s="13"/>
      <c r="C16" s="14"/>
      <c r="D16" s="34" t="s">
        <v>24</v>
      </c>
      <c r="E16" s="22"/>
      <c r="F16" s="23"/>
    </row>
    <row r="17" spans="1:6" x14ac:dyDescent="0.25">
      <c r="A17" s="15" t="s">
        <v>11</v>
      </c>
      <c r="B17" s="13"/>
      <c r="C17" s="14"/>
      <c r="D17" s="34" t="s">
        <v>25</v>
      </c>
      <c r="E17" s="22"/>
      <c r="F17" s="23"/>
    </row>
    <row r="18" spans="1:6" x14ac:dyDescent="0.25">
      <c r="A18" s="15" t="s">
        <v>15</v>
      </c>
      <c r="B18" s="13"/>
      <c r="C18" s="14"/>
      <c r="D18" s="34" t="s">
        <v>26</v>
      </c>
      <c r="E18" s="22"/>
      <c r="F18" s="23"/>
    </row>
    <row r="19" spans="1:6" x14ac:dyDescent="0.25">
      <c r="A19" s="15" t="s">
        <v>27</v>
      </c>
      <c r="B19" s="13"/>
      <c r="C19" s="14"/>
      <c r="D19" s="35" t="s">
        <v>28</v>
      </c>
      <c r="E19" s="28"/>
      <c r="F19" s="29"/>
    </row>
    <row r="20" spans="1:6" x14ac:dyDescent="0.25">
      <c r="A20" s="25"/>
      <c r="B20" s="13"/>
      <c r="C20" s="13"/>
      <c r="D20" s="13"/>
      <c r="E20" s="13"/>
      <c r="F20" s="14"/>
    </row>
    <row r="21" spans="1:6" x14ac:dyDescent="0.25">
      <c r="A21" s="15" t="s">
        <v>29</v>
      </c>
      <c r="B21" s="13"/>
      <c r="C21" s="14"/>
      <c r="D21" s="34" t="s">
        <v>25</v>
      </c>
      <c r="E21" s="22"/>
      <c r="F21" s="23"/>
    </row>
    <row r="22" spans="1:6" x14ac:dyDescent="0.25">
      <c r="A22" s="25"/>
      <c r="B22" s="13"/>
      <c r="C22" s="13"/>
      <c r="D22" s="13"/>
      <c r="E22" s="13"/>
      <c r="F22" s="14"/>
    </row>
    <row r="23" spans="1:6" x14ac:dyDescent="0.25">
      <c r="A23" s="15" t="s">
        <v>30</v>
      </c>
      <c r="B23" s="13"/>
      <c r="C23" s="14"/>
      <c r="D23" s="15" t="s">
        <v>31</v>
      </c>
      <c r="E23" s="13"/>
      <c r="F23" s="14"/>
    </row>
    <row r="24" spans="1:6" x14ac:dyDescent="0.25">
      <c r="A24" s="25"/>
      <c r="B24" s="13"/>
      <c r="C24" s="13"/>
      <c r="D24" s="13"/>
      <c r="E24" s="13"/>
      <c r="F24" s="14"/>
    </row>
    <row r="25" spans="1:6" x14ac:dyDescent="0.25">
      <c r="A25" s="15" t="s">
        <v>32</v>
      </c>
      <c r="B25" s="13"/>
      <c r="C25" s="14"/>
      <c r="D25" s="15" t="s">
        <v>33</v>
      </c>
      <c r="E25" s="13"/>
      <c r="F25" s="14"/>
    </row>
    <row r="26" spans="1:6" x14ac:dyDescent="0.25">
      <c r="A26" s="25"/>
      <c r="B26" s="13"/>
      <c r="C26" s="13"/>
      <c r="D26" s="13"/>
      <c r="E26" s="13"/>
      <c r="F26" s="14"/>
    </row>
    <row r="27" spans="1:6" x14ac:dyDescent="0.25">
      <c r="A27" s="15" t="s">
        <v>34</v>
      </c>
      <c r="B27" s="13"/>
      <c r="C27" s="14"/>
      <c r="D27" s="15" t="s">
        <v>35</v>
      </c>
      <c r="E27" s="13"/>
      <c r="F27" s="14"/>
    </row>
    <row r="28" spans="1:6" x14ac:dyDescent="0.25">
      <c r="A28" s="12" t="s">
        <v>36</v>
      </c>
      <c r="B28" s="13"/>
      <c r="C28" s="13"/>
      <c r="D28" s="13"/>
      <c r="E28" s="13"/>
      <c r="F28" s="14"/>
    </row>
    <row r="29" spans="1:6" x14ac:dyDescent="0.25">
      <c r="A29" s="4" t="s">
        <v>37</v>
      </c>
      <c r="B29" s="5" t="s">
        <v>38</v>
      </c>
      <c r="C29" s="5" t="s">
        <v>39</v>
      </c>
      <c r="D29" s="5" t="s">
        <v>40</v>
      </c>
      <c r="E29" s="5" t="s">
        <v>41</v>
      </c>
      <c r="F29" s="5" t="s">
        <v>42</v>
      </c>
    </row>
    <row r="30" spans="1:6" x14ac:dyDescent="0.25">
      <c r="A30" s="6">
        <v>1</v>
      </c>
      <c r="B30" s="6">
        <v>1</v>
      </c>
      <c r="C30" s="6" t="s">
        <v>43</v>
      </c>
      <c r="D30" s="3" t="s">
        <v>44</v>
      </c>
      <c r="E30" s="37">
        <v>105.011</v>
      </c>
      <c r="F30" s="37">
        <f t="shared" ref="F30:F35" si="0">E30*B30</f>
        <v>105.011</v>
      </c>
    </row>
    <row r="31" spans="1:6" x14ac:dyDescent="0.25">
      <c r="A31" s="6">
        <v>2</v>
      </c>
      <c r="B31" s="6">
        <v>30</v>
      </c>
      <c r="C31" s="6" t="s">
        <v>45</v>
      </c>
      <c r="D31" s="3" t="s">
        <v>46</v>
      </c>
      <c r="E31" s="37">
        <v>10.77</v>
      </c>
      <c r="F31" s="37">
        <f t="shared" si="0"/>
        <v>323.09999999999997</v>
      </c>
    </row>
    <row r="32" spans="1:6" x14ac:dyDescent="0.25">
      <c r="A32" s="6">
        <v>3</v>
      </c>
      <c r="B32" s="6">
        <v>250</v>
      </c>
      <c r="C32" s="6" t="s">
        <v>47</v>
      </c>
      <c r="D32" s="3" t="s">
        <v>48</v>
      </c>
      <c r="E32" s="37">
        <v>37.537999999999997</v>
      </c>
      <c r="F32" s="37">
        <f t="shared" si="0"/>
        <v>9384.5</v>
      </c>
    </row>
    <row r="33" spans="1:26" x14ac:dyDescent="0.25">
      <c r="A33" s="6">
        <v>4</v>
      </c>
      <c r="B33" s="6">
        <v>4</v>
      </c>
      <c r="C33" s="6" t="s">
        <v>45</v>
      </c>
      <c r="D33" s="3" t="s">
        <v>49</v>
      </c>
      <c r="E33" s="37">
        <v>9.5389999999999997</v>
      </c>
      <c r="F33" s="37">
        <f t="shared" si="0"/>
        <v>38.155999999999999</v>
      </c>
    </row>
    <row r="34" spans="1:26" x14ac:dyDescent="0.25">
      <c r="A34" s="6">
        <v>4</v>
      </c>
      <c r="B34" s="6">
        <v>2</v>
      </c>
      <c r="C34" s="6" t="s">
        <v>45</v>
      </c>
      <c r="D34" s="3" t="s">
        <v>50</v>
      </c>
      <c r="E34" s="37">
        <v>16.323</v>
      </c>
      <c r="F34" s="37">
        <f t="shared" si="0"/>
        <v>32.646000000000001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6">
        <v>5</v>
      </c>
      <c r="B35" s="6">
        <v>2</v>
      </c>
      <c r="C35" s="6" t="s">
        <v>45</v>
      </c>
      <c r="D35" s="3" t="s">
        <v>51</v>
      </c>
      <c r="E35" s="37">
        <v>41.488</v>
      </c>
      <c r="F35" s="37">
        <f t="shared" si="0"/>
        <v>82.975999999999999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30"/>
      <c r="B36" s="17"/>
      <c r="C36" s="17"/>
      <c r="D36" s="18"/>
      <c r="E36" s="6" t="s">
        <v>52</v>
      </c>
      <c r="F36" s="37">
        <f>SUM(F28:F35)</f>
        <v>9966.3890000000029</v>
      </c>
    </row>
    <row r="37" spans="1:26" x14ac:dyDescent="0.25">
      <c r="A37" s="31"/>
      <c r="B37" s="22"/>
      <c r="C37" s="22"/>
      <c r="D37" s="23"/>
      <c r="E37" s="6" t="s">
        <v>53</v>
      </c>
      <c r="F37" s="37"/>
    </row>
    <row r="38" spans="1:26" x14ac:dyDescent="0.25">
      <c r="A38" s="31"/>
      <c r="B38" s="22"/>
      <c r="C38" s="22"/>
      <c r="D38" s="23"/>
      <c r="E38" s="6" t="s">
        <v>54</v>
      </c>
      <c r="F38" s="37"/>
    </row>
    <row r="39" spans="1:26" x14ac:dyDescent="0.25">
      <c r="A39" s="32"/>
      <c r="B39" s="28"/>
      <c r="C39" s="28"/>
      <c r="D39" s="29"/>
      <c r="E39" s="6" t="s">
        <v>55</v>
      </c>
      <c r="F39" s="37">
        <f>F36</f>
        <v>9966.3890000000029</v>
      </c>
    </row>
    <row r="40" spans="1:26" x14ac:dyDescent="0.25">
      <c r="A40" s="8"/>
      <c r="B40" s="7"/>
      <c r="C40" s="7"/>
      <c r="D40" s="7"/>
      <c r="E40" s="7"/>
      <c r="F40" s="9"/>
    </row>
    <row r="42" spans="1:26" x14ac:dyDescent="0.25">
      <c r="A42" s="10"/>
      <c r="B42" s="10"/>
      <c r="C42" s="10"/>
      <c r="D42" s="10"/>
      <c r="E42" s="10"/>
      <c r="F42" s="10"/>
    </row>
    <row r="44" spans="1:26" x14ac:dyDescent="0.25">
      <c r="F44" s="11"/>
    </row>
  </sheetData>
  <mergeCells count="47">
    <mergeCell ref="D18:F18"/>
    <mergeCell ref="D19:F19"/>
    <mergeCell ref="D27:F27"/>
    <mergeCell ref="A28:F28"/>
    <mergeCell ref="D25:F25"/>
    <mergeCell ref="A20:F20"/>
    <mergeCell ref="A21:C21"/>
    <mergeCell ref="D21:F21"/>
    <mergeCell ref="A22:F22"/>
    <mergeCell ref="A23:C23"/>
    <mergeCell ref="A17:C17"/>
    <mergeCell ref="A18:C18"/>
    <mergeCell ref="A19:C19"/>
    <mergeCell ref="A36:D39"/>
    <mergeCell ref="A14:C14"/>
    <mergeCell ref="A15:C15"/>
    <mergeCell ref="A16:C16"/>
    <mergeCell ref="D14:F14"/>
    <mergeCell ref="D15:F15"/>
    <mergeCell ref="D16:F16"/>
    <mergeCell ref="D17:F17"/>
    <mergeCell ref="D23:F23"/>
    <mergeCell ref="A24:F24"/>
    <mergeCell ref="A25:C25"/>
    <mergeCell ref="A26:F26"/>
    <mergeCell ref="A27:C27"/>
    <mergeCell ref="A9:C9"/>
    <mergeCell ref="A10:C10"/>
    <mergeCell ref="A11:C11"/>
    <mergeCell ref="A12:C12"/>
    <mergeCell ref="A13:F13"/>
    <mergeCell ref="D10:F10"/>
    <mergeCell ref="D11:F11"/>
    <mergeCell ref="D12:F12"/>
    <mergeCell ref="A6:C6"/>
    <mergeCell ref="A7:C7"/>
    <mergeCell ref="A8:C8"/>
    <mergeCell ref="D6:F6"/>
    <mergeCell ref="D7:F7"/>
    <mergeCell ref="D8:F8"/>
    <mergeCell ref="A1:F1"/>
    <mergeCell ref="A2:F2"/>
    <mergeCell ref="A3:F3"/>
    <mergeCell ref="A4:C4"/>
    <mergeCell ref="A5:C5"/>
    <mergeCell ref="D4:F4"/>
    <mergeCell ref="D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ademar</dc:creator>
  <cp:lastModifiedBy>Ademar Jose</cp:lastModifiedBy>
  <dcterms:created xsi:type="dcterms:W3CDTF">2025-09-26T12:41:02Z</dcterms:created>
  <dcterms:modified xsi:type="dcterms:W3CDTF">2025-09-26T12:41:02Z</dcterms:modified>
</cp:coreProperties>
</file>