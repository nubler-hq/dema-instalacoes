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" sheetId="1" r:id="rId5"/>
  </sheets>
  <definedNames/>
  <calcPr/>
</workbook>
</file>

<file path=xl/sharedStrings.xml><?xml version="1.0" encoding="utf-8"?>
<sst xmlns="http://schemas.openxmlformats.org/spreadsheetml/2006/main" count="74" uniqueCount="60">
  <si>
    <t>DEMA INSTALAÇÕES ELÉTRICAS, HIDRÁULICAS E MANUTENÇÕES LTDA.</t>
  </si>
  <si>
    <t>Av. Brigadeiro Luís Antônio, 3097, Jardim Paulista, São Paulo - SP</t>
  </si>
  <si>
    <t>Tel.: (11) 94794-1317 | contato@demainstalacoes.com.br</t>
  </si>
  <si>
    <t>https://demainstalacoes.com.br/</t>
  </si>
  <si>
    <t>Nº do Pedido</t>
  </si>
  <si>
    <t>XX - HIDRÁULICA</t>
  </si>
  <si>
    <t>DADOS DO PEDIDO</t>
  </si>
  <si>
    <t>FORNECEDOR</t>
  </si>
  <si>
    <t>Data</t>
  </si>
  <si>
    <t>16/04/2026</t>
  </si>
  <si>
    <t>Fornecedor</t>
  </si>
  <si>
    <t>FIXAGOLD COMERCIO DE PARAFUSOS E ACESSORIOS LTDA - ME</t>
  </si>
  <si>
    <t>Pedido Interno</t>
  </si>
  <si>
    <t>CNPJ</t>
  </si>
  <si>
    <t>11.551.676/0001-90</t>
  </si>
  <si>
    <t>Obra / Referência</t>
  </si>
  <si>
    <t>Wise Clementino</t>
  </si>
  <si>
    <t>Inscrição Est.</t>
  </si>
  <si>
    <t>FATURAMENTO / ENTREGA</t>
  </si>
  <si>
    <t>COBRANÇA / CONDIÇÕES</t>
  </si>
  <si>
    <t>Faturamento</t>
  </si>
  <si>
    <t>Cobrança</t>
  </si>
  <si>
    <t>SMG-22 Empreendimentos Imobiliários SPE LTDA</t>
  </si>
  <si>
    <t>Endereço</t>
  </si>
  <si>
    <t>Condição pgto.</t>
  </si>
  <si>
    <t>Rua Treze de Maio, 1.954 - 5º andar - CEP 01327-902 - São Paulo/SP</t>
  </si>
  <si>
    <t>Local de entrega</t>
  </si>
  <si>
    <t>Prazo de entrega</t>
  </si>
  <si>
    <t>Rua Guapiáu, 75 - Mirandópolis - São Paulo/SP - CEP 04024-020</t>
  </si>
  <si>
    <t>Horário para entrega</t>
  </si>
  <si>
    <t>Telefone</t>
  </si>
  <si>
    <t>ITEM</t>
  </si>
  <si>
    <t>QTDE</t>
  </si>
  <si>
    <t>UNID.</t>
  </si>
  <si>
    <t>DESCRIÇÃO</t>
  </si>
  <si>
    <t>UNIT. (R$)</t>
  </si>
  <si>
    <t>TOTAL (R$)</t>
  </si>
  <si>
    <t>PC</t>
  </si>
  <si>
    <t>ABRA GOTA ECONOMICA 3</t>
  </si>
  <si>
    <t>ABRA GOTA ECONOMICA 4</t>
  </si>
  <si>
    <t>ABRA GOTA ECONOMICA 6</t>
  </si>
  <si>
    <t>ARRUELA LISA 14</t>
  </si>
  <si>
    <t>ARRUELA LISA 38</t>
  </si>
  <si>
    <t>BROCA SDS PLUS HTOM 10 X 160</t>
  </si>
  <si>
    <t>BROCA SDS PLUS HTOM 14 X 160</t>
  </si>
  <si>
    <t>JAQUETA E CONE 14</t>
  </si>
  <si>
    <t>JAQUETA E CONE 38</t>
  </si>
  <si>
    <t>PERF PERFURADO 19 X 38 X 6 MTS CHAPA 18</t>
  </si>
  <si>
    <t>PERF PERFURADO 38 X 38 X 6 MTS CHAPA 18</t>
  </si>
  <si>
    <t>PORCA SEXTAVADA 14</t>
  </si>
  <si>
    <t>PORCA SEXTAVADA 38</t>
  </si>
  <si>
    <t>VERGALHO RT 14 X 3 MTS GALVANIZADO</t>
  </si>
  <si>
    <t>VERGALHO RT 38 X 3 MTS GALVANIZADO</t>
  </si>
  <si>
    <t>OBSERVAÇÕES / INSTRUÇÕES</t>
  </si>
  <si>
    <t>SUBTOTAL</t>
  </si>
  <si>
    <t xml:space="preserve">OBS: CONSTAR NA NOTA FISCAL O N° DA                             SFOBRAS: </t>
  </si>
  <si>
    <t>FRETE</t>
  </si>
  <si>
    <t>DESCONTO</t>
  </si>
  <si>
    <t>NÃO SERÁ ACEITO EM HIPOTESE NENHUMA NEGOCIAÇÃO DE TÍTULOS CONTRA TERCEIROS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</si>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</sst>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F1F1F"/>
      <name val="Arial"/>
    </font>
    <font>
      <b/>
      <sz val="11.0"/>
      <color theme="1"/>
      <name val="Arial"/>
    </font>
    <font/>
    <font>
      <sz val="11.0"/>
      <color rgb="FF27251E"/>
      <name val="PplxSansMono"/>
    </font>
    <font>
      <b/>
      <u/>
      <color rgb="FFFF0000"/>
    </font>
    <font>
      <b/>
      <sz val="10.0"/>
      <color rgb="FF1F1F1F"/>
      <name val="Arial"/>
    </font>
    <font>
      <b/>
      <sz val="11.0"/>
      <color rgb="FFC61D23"/>
      <name val="Arial"/>
    </font>
    <font>
      <b/>
      <sz val="10.0"/>
      <color rgb="FFFFFFFF"/>
      <name val="Calibri"/>
    </font>
    <font>
      <color theme="1"/>
      <name val="Calibri"/>
    </font>
    <font>
      <b/>
      <sz val="11.0"/>
      <color rgb="FF1F1F1F"/>
      <name val="Calibri"/>
    </font>
    <font>
      <sz val="11.0"/>
      <color rgb="FF1F1F1F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sz val="10.0"/>
      <color rgb="FF1F1F1F"/>
      <name val="Calibri"/>
    </font>
    <font>
      <b/>
      <color rgb="FF666666"/>
      <name val="Calibri"/>
    </font>
    <font>
      <b/>
      <sz val="10.0"/>
      <color rgb="FF434343"/>
      <name val="Calibri"/>
    </font>
    <font>
      <b/>
      <sz val="10.0"/>
      <color rgb="FF1F1F1F"/>
      <name val="Calibri"/>
    </font>
    <font>
      <sz val="11.0"/>
      <color rgb="FF6A6A6A"/>
      <name val="Calibri"/>
    </font>
    <font>
      <b/>
      <sz val="11.0"/>
      <color rgb="FF6A6A6A"/>
      <name val="Calibri"/>
    </font>
    <font>
      <b/>
      <sz val="11.0"/>
      <color rgb="FFC61D23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61D23"/>
        <bgColor rgb="FFC61D23"/>
      </patternFill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1F1F1F"/>
        <bgColor rgb="FF1F1F1F"/>
      </patternFill>
    </fill>
    <fill>
      <patternFill patternType="solid">
        <fgColor rgb="FFEFEFEF"/>
        <bgColor rgb="FFEFEFEF"/>
      </patternFill>
    </fill>
    <fill>
      <patternFill patternType="solid">
        <fgColor rgb="FFFBFBFC"/>
        <bgColor rgb="FFFBFBFC"/>
      </patternFill>
    </fill>
  </fills>
  <borders count="33">
    <border/>
    <border>
      <left/>
      <right/>
      <top/>
      <bottom/>
    </border>
    <border>
      <left/>
      <top/>
      <bottom/>
    </border>
    <border>
      <left/>
      <top/>
    </border>
    <border>
      <top/>
    </border>
    <border>
      <left/>
    </border>
    <border>
      <left style="thin">
        <color rgb="FFD7DCE2"/>
      </left>
      <top style="thin">
        <color rgb="FFD7DCE2"/>
      </top>
      <bottom style="thin">
        <color rgb="FFD7DCE2"/>
      </bottom>
    </border>
    <border>
      <top style="thin">
        <color rgb="FFD7DCE2"/>
      </top>
      <bottom style="thin">
        <color rgb="FFD7DCE2"/>
      </bottom>
    </border>
    <border>
      <right style="thin">
        <color rgb="FFD7DCE2"/>
      </right>
      <top style="thin">
        <color rgb="FFD7DCE2"/>
      </top>
      <bottom style="thin">
        <color rgb="FFD7DCE2"/>
      </bottom>
    </border>
    <border>
      <top/>
      <bottom/>
    </border>
    <border>
      <left style="thin">
        <color rgb="FFD7DCE2"/>
      </left>
      <top style="thin">
        <color rgb="FFD7DCE2"/>
      </top>
      <bottom style="thin">
        <color rgb="FFD9D9D9"/>
      </bottom>
    </border>
    <border>
      <right style="thin">
        <color rgb="FFD7DCE2"/>
      </right>
      <top style="thin">
        <color rgb="FFD7DCE2"/>
      </top>
      <bottom style="thin">
        <color rgb="FFD9D9D9"/>
      </bottom>
    </border>
    <border>
      <top style="thin">
        <color rgb="FFD7DCE2"/>
      </top>
      <bottom style="thin">
        <color rgb="FFD9D9D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D7DCE2"/>
      </left>
      <right style="thin">
        <color rgb="FFD7DCE2"/>
      </right>
      <bottom style="thin">
        <color rgb="FFD7DCE2"/>
      </bottom>
    </border>
    <border>
      <left style="thin">
        <color rgb="FFD7DCE2"/>
      </left>
      <bottom style="thin">
        <color rgb="FFD7DCE2"/>
      </bottom>
    </border>
    <border>
      <bottom style="thin">
        <color rgb="FFD7DCE2"/>
      </bottom>
    </border>
    <border>
      <right style="thin">
        <color rgb="FFD7DCE2"/>
      </right>
      <bottom style="thin">
        <color rgb="FFD7DCE2"/>
      </bottom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</border>
    <border>
      <left style="thin">
        <color rgb="FFD7DCE2"/>
      </left>
      <top style="thin">
        <color rgb="FFD7DCE2"/>
      </top>
    </border>
    <border>
      <top style="thin">
        <color rgb="FFD7DCE2"/>
      </top>
    </border>
    <border>
      <right style="thin">
        <color rgb="FFD7DCE2"/>
      </right>
      <top style="thin">
        <color rgb="FFD7DCE2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2" fontId="1" numFmtId="0" xfId="0" applyFont="1"/>
    <xf borderId="0" fillId="3" fontId="2" numFmtId="0" xfId="0" applyAlignment="1" applyFill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Font="1"/>
    <xf borderId="3" fillId="3" fontId="2" numFmtId="0" xfId="0" applyAlignment="1" applyBorder="1" applyFont="1">
      <alignment horizontal="left" vertical="center"/>
    </xf>
    <xf borderId="4" fillId="0" fontId="4" numFmtId="0" xfId="0" applyBorder="1" applyFont="1"/>
    <xf borderId="0" fillId="3" fontId="5" numFmtId="0" xfId="0" applyFont="1"/>
    <xf borderId="5" fillId="0" fontId="4" numFmtId="0" xfId="0" applyBorder="1" applyFont="1"/>
    <xf borderId="0" fillId="3" fontId="5" numFmtId="0" xfId="0" applyAlignment="1" applyFont="1">
      <alignment horizontal="left"/>
    </xf>
    <xf borderId="0" fillId="0" fontId="6" numFmtId="0" xfId="0" applyFont="1"/>
    <xf borderId="6" fillId="4" fontId="7" numFmtId="0" xfId="0" applyAlignment="1" applyBorder="1" applyFill="1" applyFont="1">
      <alignment horizontal="left" vertical="center"/>
    </xf>
    <xf borderId="7" fillId="0" fontId="4" numFmtId="0" xfId="0" applyBorder="1" applyFont="1"/>
    <xf borderId="8" fillId="0" fontId="4" numFmtId="0" xfId="0" applyBorder="1" applyFont="1"/>
    <xf borderId="6" fillId="4" fontId="8" numFmtId="0" xfId="0" applyAlignment="1" applyBorder="1" applyFont="1">
      <alignment horizontal="center" vertical="center"/>
    </xf>
    <xf borderId="2" fillId="5" fontId="9" numFmtId="0" xfId="0" applyAlignment="1" applyBorder="1" applyFill="1" applyFont="1">
      <alignment horizontal="left" vertical="center"/>
    </xf>
    <xf borderId="9" fillId="0" fontId="4" numFmtId="0" xfId="0" applyBorder="1" applyFont="1"/>
    <xf borderId="0" fillId="0" fontId="10" numFmtId="0" xfId="0" applyAlignment="1" applyFont="1">
      <alignment vertical="center"/>
    </xf>
    <xf borderId="6" fillId="6" fontId="11" numFmtId="0" xfId="0" applyAlignment="1" applyBorder="1" applyFill="1" applyFont="1">
      <alignment vertical="center"/>
    </xf>
    <xf borderId="6" fillId="7" fontId="12" numFmtId="0" xfId="0" applyAlignment="1" applyBorder="1" applyFill="1" applyFont="1">
      <alignment readingOrder="0" vertical="center"/>
    </xf>
    <xf borderId="6" fillId="3" fontId="12" numFmtId="0" xfId="0" applyAlignment="1" applyBorder="1" applyFont="1">
      <alignment readingOrder="0" vertical="center"/>
    </xf>
    <xf borderId="6" fillId="7" fontId="12" numFmtId="0" xfId="0" applyAlignment="1" applyBorder="1" applyFont="1">
      <alignment vertical="center"/>
    </xf>
    <xf borderId="10" fillId="6" fontId="11" numFmtId="0" xfId="0" applyAlignment="1" applyBorder="1" applyFont="1">
      <alignment vertical="center"/>
    </xf>
    <xf borderId="11" fillId="0" fontId="4" numFmtId="0" xfId="0" applyBorder="1" applyFont="1"/>
    <xf borderId="10" fillId="7" fontId="12" numFmtId="0" xfId="0" applyAlignment="1" applyBorder="1" applyFont="1">
      <alignment vertical="center"/>
    </xf>
    <xf borderId="12" fillId="0" fontId="4" numFmtId="0" xfId="0" applyBorder="1" applyFont="1"/>
    <xf borderId="10" fillId="7" fontId="12" numFmtId="0" xfId="0" applyAlignment="1" applyBorder="1" applyFont="1">
      <alignment horizontal="left" readingOrder="0" vertical="center"/>
    </xf>
    <xf borderId="0" fillId="3" fontId="11" numFmtId="0" xfId="0" applyAlignment="1" applyFont="1">
      <alignment vertical="center"/>
    </xf>
    <xf borderId="6" fillId="7" fontId="13" numFmtId="0" xfId="0" applyAlignment="1" applyBorder="1" applyFont="1">
      <alignment readingOrder="0" vertical="center"/>
    </xf>
    <xf borderId="6" fillId="7" fontId="1" numFmtId="0" xfId="0" applyAlignment="1" applyBorder="1" applyFont="1">
      <alignment vertical="center"/>
    </xf>
    <xf borderId="6" fillId="7" fontId="14" numFmtId="0" xfId="0" applyAlignment="1" applyBorder="1" applyFont="1">
      <alignment readingOrder="0" vertical="center"/>
    </xf>
    <xf borderId="10" fillId="7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13" fillId="2" fontId="9" numFmtId="0" xfId="0" applyAlignment="1" applyBorder="1" applyFont="1">
      <alignment horizontal="left" vertical="center"/>
    </xf>
    <xf borderId="14" fillId="2" fontId="9" numFmtId="0" xfId="0" applyAlignment="1" applyBorder="1" applyFont="1">
      <alignment horizontal="left" vertical="center"/>
    </xf>
    <xf borderId="15" fillId="0" fontId="4" numFmtId="0" xfId="0" applyBorder="1" applyFont="1"/>
    <xf borderId="16" fillId="0" fontId="4" numFmtId="0" xfId="0" applyBorder="1" applyFont="1"/>
    <xf borderId="17" fillId="3" fontId="15" numFmtId="0" xfId="0" applyAlignment="1" applyBorder="1" applyFont="1">
      <alignment horizontal="center" readingOrder="0" vertical="center"/>
    </xf>
    <xf borderId="18" fillId="3" fontId="15" numFmtId="0" xfId="0" applyAlignment="1" applyBorder="1" applyFont="1">
      <alignment horizontal="left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3" fontId="15" numFmtId="164" xfId="0" applyAlignment="1" applyBorder="1" applyFont="1" applyNumberFormat="1">
      <alignment horizontal="center" readingOrder="0" vertical="center"/>
    </xf>
    <xf borderId="17" fillId="3" fontId="15" numFmtId="164" xfId="0" applyAlignment="1" applyBorder="1" applyFont="1" applyNumberFormat="1">
      <alignment horizontal="center" vertical="center"/>
    </xf>
    <xf borderId="21" fillId="7" fontId="15" numFmtId="0" xfId="0" applyAlignment="1" applyBorder="1" applyFont="1">
      <alignment horizontal="center" readingOrder="0" vertical="center"/>
    </xf>
    <xf borderId="6" fillId="7" fontId="15" numFmtId="0" xfId="0" applyAlignment="1" applyBorder="1" applyFont="1">
      <alignment horizontal="left" readingOrder="0" shrinkToFit="0" vertical="center" wrapText="1"/>
    </xf>
    <xf borderId="6" fillId="7" fontId="15" numFmtId="164" xfId="0" applyAlignment="1" applyBorder="1" applyFont="1" applyNumberFormat="1">
      <alignment horizontal="center" readingOrder="0" vertical="center"/>
    </xf>
    <xf borderId="21" fillId="7" fontId="15" numFmtId="164" xfId="0" applyAlignment="1" applyBorder="1" applyFont="1" applyNumberFormat="1">
      <alignment horizontal="center" vertical="center"/>
    </xf>
    <xf borderId="21" fillId="3" fontId="15" numFmtId="0" xfId="0" applyAlignment="1" applyBorder="1" applyFont="1">
      <alignment horizontal="center" readingOrder="0" vertical="center"/>
    </xf>
    <xf borderId="6" fillId="3" fontId="15" numFmtId="0" xfId="0" applyAlignment="1" applyBorder="1" applyFont="1">
      <alignment horizontal="left" readingOrder="0" shrinkToFit="0" vertical="center" wrapText="1"/>
    </xf>
    <xf borderId="6" fillId="3" fontId="15" numFmtId="164" xfId="0" applyAlignment="1" applyBorder="1" applyFont="1" applyNumberFormat="1">
      <alignment horizontal="center" readingOrder="0" vertical="center"/>
    </xf>
    <xf borderId="21" fillId="3" fontId="15" numFmtId="164" xfId="0" applyAlignment="1" applyBorder="1" applyFont="1" applyNumberFormat="1">
      <alignment horizontal="center" vertical="center"/>
    </xf>
    <xf borderId="0" fillId="3" fontId="16" numFmtId="0" xfId="0" applyAlignment="1" applyFont="1">
      <alignment horizontal="center" readingOrder="0" vertical="center"/>
    </xf>
    <xf borderId="22" fillId="6" fontId="17" numFmtId="0" xfId="0" applyAlignment="1" applyBorder="1" applyFont="1">
      <alignment horizontal="left" readingOrder="0" vertical="center"/>
    </xf>
    <xf borderId="23" fillId="0" fontId="4" numFmtId="0" xfId="0" applyBorder="1" applyFont="1"/>
    <xf borderId="24" fillId="0" fontId="4" numFmtId="0" xfId="0" applyBorder="1" applyFont="1"/>
    <xf borderId="6" fillId="6" fontId="18" numFmtId="0" xfId="0" applyAlignment="1" applyBorder="1" applyFont="1">
      <alignment horizontal="right" vertical="center"/>
    </xf>
    <xf borderId="6" fillId="0" fontId="1" numFmtId="164" xfId="0" applyAlignment="1" applyBorder="1" applyFont="1" applyNumberFormat="1">
      <alignment horizontal="right" vertical="center"/>
    </xf>
    <xf borderId="25" fillId="3" fontId="19" numFmtId="0" xfId="0" applyAlignment="1" applyBorder="1" applyFont="1">
      <alignment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7" fillId="6" fontId="18" numFmtId="0" xfId="0" applyAlignment="1" applyBorder="1" applyFont="1">
      <alignment horizontal="right" vertical="center"/>
    </xf>
    <xf borderId="28" fillId="3" fontId="10" numFmtId="0" xfId="0" applyAlignment="1" applyBorder="1" applyFont="1">
      <alignment vertical="center"/>
    </xf>
    <xf borderId="29" fillId="0" fontId="4" numFmtId="0" xfId="0" applyBorder="1" applyFont="1"/>
    <xf borderId="7" fillId="6" fontId="18" numFmtId="0" xfId="0" applyAlignment="1" applyBorder="1" applyFont="1">
      <alignment horizontal="right" vertical="center"/>
    </xf>
    <xf borderId="30" fillId="3" fontId="20" numFmtId="0" xfId="0" applyAlignment="1" applyBorder="1" applyFont="1">
      <alignment readingOrder="0" shrinkToFit="0" vertical="center" wrapText="1"/>
    </xf>
    <xf borderId="31" fillId="0" fontId="4" numFmtId="0" xfId="0" applyBorder="1" applyFont="1"/>
    <xf borderId="32" fillId="0" fontId="4" numFmtId="0" xfId="0" applyBorder="1" applyFont="1"/>
    <xf borderId="7" fillId="2" fontId="9" numFmtId="0" xfId="0" applyAlignment="1" applyBorder="1" applyFont="1">
      <alignment horizontal="right" vertical="center"/>
    </xf>
    <xf borderId="6" fillId="0" fontId="21" numFmtId="164" xfId="0" applyAlignment="1" applyBorder="1" applyFont="1" applyNumberFormat="1">
      <alignment horizontal="right" vertical="center"/>
    </xf>
    <xf borderId="0" fillId="0" fontId="2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2</xdr:row>
      <xdr:rowOff>95250</xdr:rowOff>
    </xdr:from>
    <xdr:ext cx="1714500" cy="4000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D31016"/>
      </a:dk1>
      <a:lt1>
        <a:srgbClr val="FFFFFF"/>
      </a:lt1>
      <a:dk2>
        <a:srgbClr val="D31016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ainstalacoes.com.b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9.0" topLeftCell="B50" activePane="bottomRight" state="frozen"/>
      <selection activeCell="B1" sqref="B1" pane="topRight"/>
      <selection activeCell="A50" sqref="A50" pane="bottomLeft"/>
      <selection activeCell="B50" sqref="B50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4" width="11.0"/>
    <col customWidth="1" min="5" max="5" width="21.14"/>
    <col customWidth="1" min="6" max="6" width="7.43"/>
    <col customWidth="1" min="7" max="7" width="16.0"/>
    <col customWidth="1" min="8" max="8" width="4.43"/>
    <col customWidth="1" min="9" max="10" width="13.0"/>
    <col customWidth="1" min="11" max="11" width="41.71"/>
  </cols>
  <sheetData>
    <row r="1" ht="11.25" customHeight="1">
      <c r="B1" s="1"/>
      <c r="C1" s="1"/>
      <c r="D1" s="1"/>
      <c r="E1" s="2"/>
      <c r="F1" s="3"/>
      <c r="G1" s="3"/>
      <c r="H1" s="3"/>
      <c r="I1" s="3"/>
      <c r="J1" s="3"/>
      <c r="K1" s="3"/>
    </row>
    <row r="2" ht="13.5" customHeight="1">
      <c r="B2" s="4"/>
      <c r="C2" s="4"/>
      <c r="D2" s="4"/>
      <c r="E2" s="4"/>
      <c r="F2" s="5"/>
      <c r="G2" s="5"/>
      <c r="H2" s="5"/>
      <c r="I2" s="5"/>
      <c r="J2" s="5"/>
      <c r="K2" s="5"/>
    </row>
    <row r="3" ht="18.75" customHeight="1">
      <c r="B3" s="4"/>
      <c r="C3" s="4"/>
      <c r="D3" s="4"/>
      <c r="E3" s="4"/>
      <c r="F3" s="6" t="s">
        <v>0</v>
      </c>
    </row>
    <row r="4" ht="17.25" customHeight="1">
      <c r="B4" s="7"/>
      <c r="C4" s="8"/>
      <c r="D4" s="8"/>
      <c r="E4" s="8"/>
      <c r="F4" s="9" t="s">
        <v>1</v>
      </c>
    </row>
    <row r="5" ht="17.25" customHeight="1">
      <c r="B5" s="10"/>
      <c r="F5" s="11" t="s">
        <v>2</v>
      </c>
    </row>
    <row r="6" ht="1.5" customHeight="1">
      <c r="B6" s="10"/>
    </row>
    <row r="7" ht="16.5" customHeight="1">
      <c r="F7" s="12" t="s">
        <v>3</v>
      </c>
    </row>
    <row r="8" ht="16.5" customHeight="1"/>
    <row r="9" ht="18.0" customHeight="1">
      <c r="F9" s="13" t="s">
        <v>4</v>
      </c>
      <c r="G9" s="14"/>
      <c r="H9" s="15"/>
      <c r="I9" s="16" t="s">
        <v>5</v>
      </c>
      <c r="J9" s="14"/>
      <c r="K9" s="15"/>
    </row>
    <row r="11" ht="21.75" customHeight="1">
      <c r="B11" s="17" t="s">
        <v>6</v>
      </c>
      <c r="C11" s="18"/>
      <c r="D11" s="18"/>
      <c r="E11" s="18"/>
      <c r="F11" s="18"/>
      <c r="G11" s="17" t="s">
        <v>7</v>
      </c>
      <c r="H11" s="18"/>
      <c r="I11" s="18"/>
      <c r="J11" s="18"/>
      <c r="K11" s="18"/>
    </row>
    <row r="12" ht="24.75" customHeight="1">
      <c r="A12" s="19"/>
      <c r="B12" s="20" t="s">
        <v>8</v>
      </c>
      <c r="C12" s="15"/>
      <c r="D12" s="21" t="s">
        <v>9</v>
      </c>
      <c r="E12" s="14"/>
      <c r="F12" s="15"/>
      <c r="G12" s="20" t="s">
        <v>10</v>
      </c>
      <c r="H12" s="15"/>
      <c r="I12" s="22" t="s">
        <v>11</v>
      </c>
      <c r="J12" s="14"/>
      <c r="K12" s="15"/>
    </row>
    <row r="13" ht="25.5" customHeight="1">
      <c r="A13" s="19"/>
      <c r="B13" s="20" t="s">
        <v>12</v>
      </c>
      <c r="C13" s="15"/>
      <c r="D13" s="23"/>
      <c r="E13" s="14"/>
      <c r="F13" s="15"/>
      <c r="G13" s="20" t="s">
        <v>13</v>
      </c>
      <c r="H13" s="15"/>
      <c r="I13" s="21" t="s">
        <v>14</v>
      </c>
      <c r="J13" s="14"/>
      <c r="K13" s="15"/>
    </row>
    <row r="14" ht="23.25" customHeight="1">
      <c r="A14" s="19"/>
      <c r="B14" s="24" t="s">
        <v>15</v>
      </c>
      <c r="C14" s="25"/>
      <c r="D14" s="26" t="s">
        <v>16</v>
      </c>
      <c r="E14" s="27"/>
      <c r="F14" s="25"/>
      <c r="G14" s="24" t="s">
        <v>17</v>
      </c>
      <c r="H14" s="25"/>
      <c r="I14" s="28"/>
      <c r="J14" s="27"/>
      <c r="K14" s="25"/>
    </row>
    <row r="15" ht="23.25" customHeight="1">
      <c r="A15" s="19"/>
      <c r="B15" s="29"/>
    </row>
    <row r="16" ht="21.75" customHeight="1">
      <c r="B16" s="17" t="s">
        <v>18</v>
      </c>
      <c r="C16" s="18"/>
      <c r="D16" s="18"/>
      <c r="E16" s="18"/>
      <c r="F16" s="18"/>
      <c r="G16" s="17" t="s">
        <v>19</v>
      </c>
      <c r="H16" s="18"/>
      <c r="I16" s="18"/>
      <c r="J16" s="18"/>
      <c r="K16" s="18"/>
    </row>
    <row r="17" ht="22.5" customHeight="1">
      <c r="B17" s="20" t="s">
        <v>20</v>
      </c>
      <c r="C17" s="14"/>
      <c r="D17" s="14"/>
      <c r="E17" s="14"/>
      <c r="F17" s="15"/>
      <c r="G17" s="20" t="s">
        <v>21</v>
      </c>
      <c r="H17" s="14"/>
      <c r="I17" s="14"/>
      <c r="J17" s="14"/>
      <c r="K17" s="15"/>
    </row>
    <row r="18" ht="24.0" customHeight="1">
      <c r="B18" s="30" t="s">
        <v>22</v>
      </c>
      <c r="C18" s="14"/>
      <c r="D18" s="14"/>
      <c r="E18" s="14"/>
      <c r="F18" s="15"/>
      <c r="G18" s="31"/>
      <c r="H18" s="14"/>
      <c r="I18" s="14"/>
      <c r="J18" s="14"/>
      <c r="K18" s="15"/>
    </row>
    <row r="19" ht="24.0" customHeight="1">
      <c r="B19" s="20" t="s">
        <v>23</v>
      </c>
      <c r="C19" s="14"/>
      <c r="D19" s="14"/>
      <c r="E19" s="14"/>
      <c r="F19" s="15"/>
      <c r="G19" s="20" t="s">
        <v>24</v>
      </c>
      <c r="H19" s="14"/>
      <c r="I19" s="14"/>
      <c r="J19" s="14"/>
      <c r="K19" s="15"/>
    </row>
    <row r="20" ht="24.0" customHeight="1">
      <c r="B20" s="32" t="s">
        <v>25</v>
      </c>
      <c r="C20" s="14"/>
      <c r="D20" s="14"/>
      <c r="E20" s="14"/>
      <c r="F20" s="15"/>
      <c r="G20" s="31"/>
      <c r="H20" s="14"/>
      <c r="I20" s="14"/>
      <c r="J20" s="14"/>
      <c r="K20" s="15"/>
    </row>
    <row r="21" ht="24.75" customHeight="1">
      <c r="B21" s="20" t="s">
        <v>26</v>
      </c>
      <c r="C21" s="14"/>
      <c r="D21" s="14"/>
      <c r="E21" s="14"/>
      <c r="F21" s="15"/>
      <c r="G21" s="20" t="s">
        <v>27</v>
      </c>
      <c r="H21" s="14"/>
      <c r="I21" s="14"/>
      <c r="J21" s="14"/>
      <c r="K21" s="15"/>
    </row>
    <row r="22" ht="24.0" customHeight="1">
      <c r="B22" s="32" t="s">
        <v>28</v>
      </c>
      <c r="C22" s="14"/>
      <c r="D22" s="14"/>
      <c r="E22" s="14"/>
      <c r="F22" s="15"/>
      <c r="G22" s="31"/>
      <c r="H22" s="14"/>
      <c r="I22" s="14"/>
      <c r="J22" s="14"/>
      <c r="K22" s="15"/>
    </row>
    <row r="23" ht="24.0" customHeight="1">
      <c r="B23" s="20" t="s">
        <v>29</v>
      </c>
      <c r="C23" s="14"/>
      <c r="D23" s="14"/>
      <c r="E23" s="14"/>
      <c r="F23" s="15"/>
      <c r="G23" s="20" t="s">
        <v>30</v>
      </c>
      <c r="H23" s="14"/>
      <c r="I23" s="14"/>
      <c r="J23" s="14"/>
      <c r="K23" s="15"/>
    </row>
    <row r="24" ht="24.0" customHeight="1">
      <c r="B24" s="33"/>
      <c r="C24" s="27"/>
      <c r="D24" s="27"/>
      <c r="E24" s="27"/>
      <c r="F24" s="25"/>
      <c r="G24" s="33"/>
      <c r="H24" s="27"/>
      <c r="I24" s="27"/>
      <c r="J24" s="27"/>
      <c r="K24" s="25"/>
    </row>
    <row r="25" ht="24.0" customHeight="1">
      <c r="B25" s="34"/>
    </row>
    <row r="26" ht="21.75" customHeight="1">
      <c r="B26" s="35" t="s">
        <v>31</v>
      </c>
      <c r="C26" s="35" t="s">
        <v>32</v>
      </c>
      <c r="D26" s="35" t="s">
        <v>33</v>
      </c>
      <c r="E26" s="36" t="s">
        <v>34</v>
      </c>
      <c r="F26" s="37"/>
      <c r="G26" s="37"/>
      <c r="H26" s="38"/>
      <c r="I26" s="36" t="s">
        <v>35</v>
      </c>
      <c r="J26" s="38"/>
      <c r="K26" s="35" t="s">
        <v>36</v>
      </c>
    </row>
    <row r="27" ht="30.0" customHeight="1">
      <c r="B27" s="39">
        <v>1.0</v>
      </c>
      <c r="C27" s="39">
        <v>100.0</v>
      </c>
      <c r="D27" s="39" t="s">
        <v>37</v>
      </c>
      <c r="E27" s="40" t="s">
        <v>38</v>
      </c>
      <c r="F27" s="41"/>
      <c r="G27" s="41"/>
      <c r="H27" s="42"/>
      <c r="I27" s="43">
        <v>1.15</v>
      </c>
      <c r="J27" s="42"/>
      <c r="K27" s="44">
        <f t="shared" ref="K27:K41" si="1">IF(OR(C27="",I27=""),"",C27*I27)</f>
        <v>115</v>
      </c>
    </row>
    <row r="28" ht="30.0" customHeight="1">
      <c r="B28" s="45">
        <v>2.0</v>
      </c>
      <c r="C28" s="45">
        <v>200.0</v>
      </c>
      <c r="D28" s="45" t="s">
        <v>37</v>
      </c>
      <c r="E28" s="46" t="s">
        <v>39</v>
      </c>
      <c r="F28" s="14"/>
      <c r="G28" s="14"/>
      <c r="H28" s="15"/>
      <c r="I28" s="47">
        <v>1.6</v>
      </c>
      <c r="J28" s="15"/>
      <c r="K28" s="48">
        <f t="shared" si="1"/>
        <v>320</v>
      </c>
    </row>
    <row r="29" ht="30.0" customHeight="1">
      <c r="B29" s="49">
        <v>3.0</v>
      </c>
      <c r="C29" s="49">
        <v>100.0</v>
      </c>
      <c r="D29" s="49" t="s">
        <v>37</v>
      </c>
      <c r="E29" s="50" t="s">
        <v>40</v>
      </c>
      <c r="F29" s="14"/>
      <c r="G29" s="14"/>
      <c r="H29" s="15"/>
      <c r="I29" s="51">
        <v>2.96</v>
      </c>
      <c r="J29" s="15"/>
      <c r="K29" s="52">
        <f t="shared" si="1"/>
        <v>296</v>
      </c>
    </row>
    <row r="30" ht="30.0" customHeight="1">
      <c r="B30" s="45">
        <v>4.0</v>
      </c>
      <c r="C30" s="45">
        <v>3000.0</v>
      </c>
      <c r="D30" s="45" t="s">
        <v>37</v>
      </c>
      <c r="E30" s="46" t="s">
        <v>41</v>
      </c>
      <c r="F30" s="14"/>
      <c r="G30" s="14"/>
      <c r="H30" s="15"/>
      <c r="I30" s="47">
        <v>0.038</v>
      </c>
      <c r="J30" s="15"/>
      <c r="K30" s="48">
        <f t="shared" si="1"/>
        <v>114</v>
      </c>
    </row>
    <row r="31" ht="30.0" customHeight="1">
      <c r="B31" s="49">
        <v>5.0</v>
      </c>
      <c r="C31" s="49">
        <v>5000.0</v>
      </c>
      <c r="D31" s="49" t="s">
        <v>37</v>
      </c>
      <c r="E31" s="50" t="s">
        <v>42</v>
      </c>
      <c r="F31" s="14"/>
      <c r="G31" s="14"/>
      <c r="H31" s="15"/>
      <c r="I31" s="51">
        <v>0.05</v>
      </c>
      <c r="J31" s="15"/>
      <c r="K31" s="52">
        <f t="shared" si="1"/>
        <v>250</v>
      </c>
    </row>
    <row r="32" ht="30.0" customHeight="1">
      <c r="B32" s="45">
        <v>6.0</v>
      </c>
      <c r="C32" s="45">
        <v>10.0</v>
      </c>
      <c r="D32" s="45" t="s">
        <v>37</v>
      </c>
      <c r="E32" s="46" t="s">
        <v>43</v>
      </c>
      <c r="F32" s="14"/>
      <c r="G32" s="14"/>
      <c r="H32" s="15"/>
      <c r="I32" s="47">
        <v>9.0</v>
      </c>
      <c r="J32" s="15"/>
      <c r="K32" s="48">
        <f t="shared" si="1"/>
        <v>90</v>
      </c>
    </row>
    <row r="33" ht="30.0" customHeight="1">
      <c r="B33" s="49">
        <v>7.0</v>
      </c>
      <c r="C33" s="49">
        <v>10.0</v>
      </c>
      <c r="D33" s="49" t="s">
        <v>37</v>
      </c>
      <c r="E33" s="50" t="s">
        <v>44</v>
      </c>
      <c r="F33" s="14"/>
      <c r="G33" s="14"/>
      <c r="H33" s="15"/>
      <c r="I33" s="51">
        <v>14.5</v>
      </c>
      <c r="J33" s="15"/>
      <c r="K33" s="52">
        <f t="shared" si="1"/>
        <v>145</v>
      </c>
    </row>
    <row r="34" ht="30.0" customHeight="1">
      <c r="B34" s="45">
        <v>8.0</v>
      </c>
      <c r="C34" s="45">
        <v>1000.0</v>
      </c>
      <c r="D34" s="45" t="s">
        <v>37</v>
      </c>
      <c r="E34" s="46" t="s">
        <v>45</v>
      </c>
      <c r="F34" s="14"/>
      <c r="G34" s="14"/>
      <c r="H34" s="15"/>
      <c r="I34" s="47">
        <v>0.45</v>
      </c>
      <c r="J34" s="15"/>
      <c r="K34" s="48">
        <f t="shared" si="1"/>
        <v>450</v>
      </c>
    </row>
    <row r="35" ht="30.0" customHeight="1">
      <c r="B35" s="49">
        <v>9.0</v>
      </c>
      <c r="C35" s="49">
        <v>2000.0</v>
      </c>
      <c r="D35" s="49" t="s">
        <v>37</v>
      </c>
      <c r="E35" s="50" t="s">
        <v>46</v>
      </c>
      <c r="F35" s="14"/>
      <c r="G35" s="14"/>
      <c r="H35" s="15"/>
      <c r="I35" s="51">
        <v>0.7</v>
      </c>
      <c r="J35" s="15"/>
      <c r="K35" s="52">
        <f t="shared" si="1"/>
        <v>1400</v>
      </c>
    </row>
    <row r="36" ht="30.0" customHeight="1">
      <c r="B36" s="45">
        <v>10.0</v>
      </c>
      <c r="C36" s="45">
        <v>20.0</v>
      </c>
      <c r="D36" s="45" t="s">
        <v>37</v>
      </c>
      <c r="E36" s="46" t="s">
        <v>47</v>
      </c>
      <c r="F36" s="14"/>
      <c r="G36" s="14"/>
      <c r="H36" s="15"/>
      <c r="I36" s="47">
        <v>48.0</v>
      </c>
      <c r="J36" s="15"/>
      <c r="K36" s="48">
        <f t="shared" si="1"/>
        <v>960</v>
      </c>
    </row>
    <row r="37" ht="30.0" customHeight="1">
      <c r="B37" s="49">
        <v>11.0</v>
      </c>
      <c r="C37" s="49">
        <v>20.0</v>
      </c>
      <c r="D37" s="49" t="s">
        <v>37</v>
      </c>
      <c r="E37" s="50" t="s">
        <v>48</v>
      </c>
      <c r="F37" s="14"/>
      <c r="G37" s="14"/>
      <c r="H37" s="15"/>
      <c r="I37" s="51">
        <v>90.0</v>
      </c>
      <c r="J37" s="15"/>
      <c r="K37" s="48">
        <f t="shared" si="1"/>
        <v>1800</v>
      </c>
    </row>
    <row r="38" ht="30.0" customHeight="1">
      <c r="B38" s="45">
        <v>12.0</v>
      </c>
      <c r="C38" s="45">
        <v>3000.0</v>
      </c>
      <c r="D38" s="45" t="s">
        <v>37</v>
      </c>
      <c r="E38" s="46" t="s">
        <v>49</v>
      </c>
      <c r="F38" s="14"/>
      <c r="G38" s="14"/>
      <c r="H38" s="15"/>
      <c r="I38" s="47">
        <v>0.06</v>
      </c>
      <c r="J38" s="15"/>
      <c r="K38" s="48">
        <f t="shared" si="1"/>
        <v>180</v>
      </c>
    </row>
    <row r="39" ht="30.0" customHeight="1">
      <c r="B39" s="49">
        <v>13.0</v>
      </c>
      <c r="C39" s="49">
        <v>5000.0</v>
      </c>
      <c r="D39" s="49" t="s">
        <v>37</v>
      </c>
      <c r="E39" s="50" t="s">
        <v>50</v>
      </c>
      <c r="F39" s="14"/>
      <c r="G39" s="14"/>
      <c r="H39" s="15"/>
      <c r="I39" s="51">
        <v>0.11</v>
      </c>
      <c r="J39" s="15"/>
      <c r="K39" s="48">
        <f t="shared" si="1"/>
        <v>550</v>
      </c>
    </row>
    <row r="40" ht="30.0" customHeight="1">
      <c r="B40" s="45">
        <v>14.0</v>
      </c>
      <c r="C40" s="45">
        <v>50.0</v>
      </c>
      <c r="D40" s="45" t="s">
        <v>37</v>
      </c>
      <c r="E40" s="46" t="s">
        <v>51</v>
      </c>
      <c r="F40" s="14"/>
      <c r="G40" s="14"/>
      <c r="H40" s="15"/>
      <c r="I40" s="47">
        <v>6.23</v>
      </c>
      <c r="J40" s="15"/>
      <c r="K40" s="48">
        <f t="shared" si="1"/>
        <v>311.5</v>
      </c>
    </row>
    <row r="41" ht="30.0" customHeight="1">
      <c r="B41" s="49">
        <v>15.0</v>
      </c>
      <c r="C41" s="49">
        <v>200.0</v>
      </c>
      <c r="D41" s="49" t="s">
        <v>37</v>
      </c>
      <c r="E41" s="50" t="s">
        <v>52</v>
      </c>
      <c r="F41" s="14"/>
      <c r="G41" s="14"/>
      <c r="H41" s="15"/>
      <c r="I41" s="51">
        <v>13.8</v>
      </c>
      <c r="J41" s="15"/>
      <c r="K41" s="48">
        <f t="shared" si="1"/>
        <v>2760</v>
      </c>
    </row>
    <row r="42" ht="30.0" customHeight="1">
      <c r="B42" s="45"/>
      <c r="C42" s="45"/>
      <c r="D42" s="45"/>
      <c r="E42" s="46"/>
      <c r="F42" s="14"/>
      <c r="G42" s="14"/>
      <c r="H42" s="15"/>
      <c r="I42" s="47"/>
      <c r="J42" s="15"/>
      <c r="K42" s="48"/>
    </row>
    <row r="43" ht="30.0" customHeight="1">
      <c r="B43" s="49"/>
      <c r="C43" s="49"/>
      <c r="D43" s="49"/>
      <c r="E43" s="50"/>
      <c r="F43" s="14"/>
      <c r="G43" s="14"/>
      <c r="H43" s="15"/>
      <c r="I43" s="51"/>
      <c r="J43" s="15"/>
      <c r="K43" s="52"/>
    </row>
    <row r="44" ht="15.75" customHeight="1">
      <c r="B44" s="53"/>
    </row>
    <row r="45" ht="15.75" customHeight="1"/>
    <row r="46" ht="24.0" customHeight="1">
      <c r="B46" s="54" t="s">
        <v>53</v>
      </c>
      <c r="C46" s="55"/>
      <c r="D46" s="55"/>
      <c r="E46" s="55"/>
      <c r="F46" s="55"/>
      <c r="G46" s="56"/>
      <c r="H46" s="57" t="s">
        <v>54</v>
      </c>
      <c r="I46" s="15"/>
      <c r="J46" s="58">
        <f>SUM(K27:K43)</f>
        <v>9741.5</v>
      </c>
      <c r="K46" s="15"/>
    </row>
    <row r="47" ht="24.0" customHeight="1">
      <c r="B47" s="59" t="s">
        <v>55</v>
      </c>
      <c r="C47" s="60"/>
      <c r="D47" s="60"/>
      <c r="E47" s="60"/>
      <c r="F47" s="60"/>
      <c r="G47" s="61"/>
      <c r="H47" s="62" t="s">
        <v>56</v>
      </c>
      <c r="I47" s="15"/>
      <c r="J47" s="58">
        <v>0.0</v>
      </c>
      <c r="K47" s="15"/>
    </row>
    <row r="48" ht="24.0" customHeight="1">
      <c r="B48" s="63"/>
      <c r="G48" s="64"/>
      <c r="H48" s="65" t="s">
        <v>57</v>
      </c>
      <c r="I48" s="15"/>
      <c r="J48" s="58">
        <v>0.0</v>
      </c>
      <c r="K48" s="15"/>
    </row>
    <row r="49" ht="21.75" customHeight="1">
      <c r="B49" s="66" t="s">
        <v>58</v>
      </c>
      <c r="C49" s="67"/>
      <c r="D49" s="67"/>
      <c r="E49" s="67"/>
      <c r="F49" s="67"/>
      <c r="G49" s="68"/>
      <c r="H49" s="69" t="s">
        <v>59</v>
      </c>
      <c r="I49" s="15"/>
      <c r="J49" s="70">
        <f>J46+J47-J48</f>
        <v>9741.5</v>
      </c>
      <c r="K49" s="15"/>
    </row>
    <row r="50" ht="15.75" customHeight="1">
      <c r="H50" s="71"/>
      <c r="I50" s="7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4">
    <mergeCell ref="E31:H31"/>
    <mergeCell ref="I31:J31"/>
    <mergeCell ref="E32:H32"/>
    <mergeCell ref="I32:J32"/>
    <mergeCell ref="E33:H33"/>
    <mergeCell ref="I33:J33"/>
    <mergeCell ref="I34:J34"/>
    <mergeCell ref="E34:H34"/>
    <mergeCell ref="E35:H35"/>
    <mergeCell ref="I35:J35"/>
    <mergeCell ref="E36:H36"/>
    <mergeCell ref="I36:J36"/>
    <mergeCell ref="E37:H37"/>
    <mergeCell ref="I37:J37"/>
    <mergeCell ref="E38:H38"/>
    <mergeCell ref="I38:J38"/>
    <mergeCell ref="E39:H39"/>
    <mergeCell ref="I39:J39"/>
    <mergeCell ref="E40:H40"/>
    <mergeCell ref="I40:J40"/>
    <mergeCell ref="I41:J41"/>
    <mergeCell ref="H46:I46"/>
    <mergeCell ref="J46:K46"/>
    <mergeCell ref="H48:I48"/>
    <mergeCell ref="J48:K48"/>
    <mergeCell ref="B47:G47"/>
    <mergeCell ref="H47:I47"/>
    <mergeCell ref="J47:K47"/>
    <mergeCell ref="B49:G49"/>
    <mergeCell ref="H49:I49"/>
    <mergeCell ref="J49:K49"/>
    <mergeCell ref="B48:G48"/>
    <mergeCell ref="E41:H41"/>
    <mergeCell ref="E42:H42"/>
    <mergeCell ref="I42:J42"/>
    <mergeCell ref="E43:H43"/>
    <mergeCell ref="I43:J43"/>
    <mergeCell ref="B44:K45"/>
    <mergeCell ref="B46:G46"/>
    <mergeCell ref="F5:K5"/>
    <mergeCell ref="F7:K7"/>
    <mergeCell ref="B10:E10"/>
    <mergeCell ref="F3:K3"/>
    <mergeCell ref="F4:K4"/>
    <mergeCell ref="F9:H9"/>
    <mergeCell ref="I9:K9"/>
    <mergeCell ref="B11:F11"/>
    <mergeCell ref="F8:K8"/>
    <mergeCell ref="B4:E6"/>
    <mergeCell ref="B9:E9"/>
    <mergeCell ref="B12:C12"/>
    <mergeCell ref="D12:F12"/>
    <mergeCell ref="G12:H12"/>
    <mergeCell ref="I12:K12"/>
    <mergeCell ref="D13:F13"/>
    <mergeCell ref="G13:H13"/>
    <mergeCell ref="I13:K13"/>
    <mergeCell ref="B13:C13"/>
    <mergeCell ref="B14:C14"/>
    <mergeCell ref="D14:F14"/>
    <mergeCell ref="G14:H14"/>
    <mergeCell ref="I14:K14"/>
    <mergeCell ref="B16:F16"/>
    <mergeCell ref="G16:K16"/>
    <mergeCell ref="B15:K15"/>
    <mergeCell ref="B20:F20"/>
    <mergeCell ref="B21:F21"/>
    <mergeCell ref="B22:F22"/>
    <mergeCell ref="B23:F23"/>
    <mergeCell ref="B24:F24"/>
    <mergeCell ref="B17:F17"/>
    <mergeCell ref="G17:K17"/>
    <mergeCell ref="B18:F18"/>
    <mergeCell ref="G18:K18"/>
    <mergeCell ref="B19:F19"/>
    <mergeCell ref="G19:K19"/>
    <mergeCell ref="G20:K20"/>
    <mergeCell ref="G21:K21"/>
    <mergeCell ref="G22:K22"/>
    <mergeCell ref="G23:K23"/>
    <mergeCell ref="G24:K24"/>
    <mergeCell ref="E26:H26"/>
    <mergeCell ref="I26:J26"/>
    <mergeCell ref="I27:J27"/>
    <mergeCell ref="B25:K25"/>
    <mergeCell ref="E27:H27"/>
    <mergeCell ref="E28:H28"/>
    <mergeCell ref="I28:J28"/>
    <mergeCell ref="E29:H29"/>
    <mergeCell ref="I29:J29"/>
    <mergeCell ref="E30:H30"/>
    <mergeCell ref="I30:J30"/>
    <mergeCell ref="G11:K11"/>
    <mergeCell ref="F10:K10"/>
  </mergeCells>
  <dataValidations>
    <dataValidation type="decimal" operator="greaterThanOrEqual" allowBlank="1" sqref="C27:C43 I27:I43">
      <formula1>0.0</formula1>
    </dataValidation>
  </dataValidations>
  <hyperlinks>
    <hyperlink r:id="rId1" ref="F7"/>
  </hyperlinks>
  <printOptions/>
  <pageMargins bottom="0.144084686509622" footer="0.0" header="0.0" left="0.003914638511095205" right="0.003914638511095205" top="0.15094586205769925"/>
  <pageSetup paperSize="9" orientation="portrait"/>
  <drawing r:id="rId2"/>
</worksheet>
</file>