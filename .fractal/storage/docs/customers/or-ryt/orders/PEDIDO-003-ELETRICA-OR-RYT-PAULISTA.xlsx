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60" yWindow="760" windowWidth="38180" windowHeight="40700" tabRatio="600" firstSheet="0" activeTab="0" autoFilterDateGrouping="1"/>
  </bookViews>
  <sheets>
    <sheet name="Baume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3">
    <numFmt numFmtId="164" formatCode="_(* #,##0.00_);_(* \(#,##0.00\);_(* \-??_);_(@_)"/>
    <numFmt numFmtId="165" formatCode="m/d/yy"/>
    <numFmt numFmtId="166" formatCode="&quot;R$&quot;\ #,##0.00"/>
  </numFmts>
  <fonts count="17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sz val="14"/>
    </font>
    <font>
      <name val="Tahoma"/>
      <family val="2"/>
      <b val="1"/>
      <sz val="10"/>
    </font>
    <font>
      <name val="Tahoma"/>
      <family val="2"/>
      <b val="1"/>
      <color rgb="FFFF0000"/>
      <sz val="10"/>
    </font>
    <font>
      <name val="Tahoma"/>
      <family val="2"/>
      <b val="1"/>
      <sz val="16"/>
    </font>
    <font>
      <name val="Arial"/>
      <family val="2"/>
      <color rgb="FF33CCCC"/>
      <sz val="10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10"/>
    </font>
    <font>
      <name val="Tahoma"/>
      <family val="2"/>
      <b val="1"/>
      <color rgb="FF000000"/>
      <sz val="11"/>
    </font>
    <font>
      <name val="Tahoma"/>
      <family val="2"/>
      <b val="1"/>
      <sz val="11"/>
    </font>
    <font>
      <name val="Tahoma"/>
      <family val="2"/>
      <sz val="11"/>
    </font>
    <font>
      <name val="Tahoma"/>
      <family val="2"/>
      <color rgb="FFFF0000"/>
      <sz val="10"/>
    </font>
    <font>
      <name val="Arial"/>
      <family val="2"/>
      <color theme="10"/>
      <sz val="10"/>
      <u val="single"/>
    </font>
    <font>
      <name val="Tahoma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7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51"/>
    <xf numFmtId="43" fontId="3" fillId="0" borderId="51"/>
    <xf numFmtId="41" fontId="3" fillId="0" borderId="51"/>
    <xf numFmtId="44" fontId="3" fillId="0" borderId="51"/>
    <xf numFmtId="42" fontId="3" fillId="0" borderId="51"/>
    <xf numFmtId="9" fontId="3" fillId="0" borderId="51"/>
    <xf numFmtId="0" fontId="8" fillId="0" borderId="51"/>
    <xf numFmtId="0" fontId="15" fillId="0" borderId="51"/>
  </cellStyleXfs>
  <cellXfs count="169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2" borderId="6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10" applyAlignment="1" pivotButton="0" quotePrefix="0" xfId="0">
      <alignment vertical="center"/>
    </xf>
    <xf numFmtId="0" fontId="4" fillId="2" borderId="11" applyAlignment="1" pivotButton="0" quotePrefix="0" xfId="0">
      <alignment vertical="center"/>
    </xf>
    <xf numFmtId="0" fontId="5" fillId="0" borderId="12" applyAlignment="1" pivotButton="0" quotePrefix="0" xfId="0">
      <alignment horizontal="right" vertical="center"/>
    </xf>
    <xf numFmtId="49" fontId="5" fillId="0" borderId="13" applyAlignment="1" pivotButton="0" quotePrefix="0" xfId="0">
      <alignment horizontal="right" vertical="center"/>
    </xf>
    <xf numFmtId="49" fontId="6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left" vertical="center"/>
    </xf>
    <xf numFmtId="0" fontId="5" fillId="0" borderId="10" applyAlignment="1" pivotButton="0" quotePrefix="0" xfId="0">
      <alignment horizontal="right" vertical="center"/>
    </xf>
    <xf numFmtId="0" fontId="5" fillId="2" borderId="17" applyAlignment="1" pivotButton="0" quotePrefix="0" xfId="0">
      <alignment horizontal="left" vertical="center"/>
    </xf>
    <xf numFmtId="0" fontId="5" fillId="2" borderId="18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5" fillId="2" borderId="21" applyAlignment="1" pivotButton="0" quotePrefix="0" xfId="0">
      <alignment horizontal="left" vertical="center"/>
    </xf>
    <xf numFmtId="0" fontId="5" fillId="2" borderId="22" applyAlignment="1" pivotButton="0" quotePrefix="0" xfId="0">
      <alignment horizontal="left" vertical="center"/>
    </xf>
    <xf numFmtId="0" fontId="2" fillId="2" borderId="23" applyAlignment="1" pivotButton="0" quotePrefix="0" xfId="0">
      <alignment horizontal="left" vertical="center"/>
    </xf>
    <xf numFmtId="0" fontId="5" fillId="2" borderId="26" applyAlignment="1" pivotButton="0" quotePrefix="0" xfId="0">
      <alignment horizontal="left" vertical="center"/>
    </xf>
    <xf numFmtId="0" fontId="5" fillId="2" borderId="27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left" vertical="center"/>
    </xf>
    <xf numFmtId="0" fontId="2" fillId="2" borderId="31" applyAlignment="1" pivotButton="0" quotePrefix="0" xfId="0">
      <alignment horizontal="left" vertical="center"/>
    </xf>
    <xf numFmtId="0" fontId="5" fillId="2" borderId="33" applyAlignment="1" pivotButton="0" quotePrefix="0" xfId="0">
      <alignment horizontal="left" vertical="center"/>
    </xf>
    <xf numFmtId="0" fontId="5" fillId="2" borderId="34" applyAlignment="1" pivotButton="0" quotePrefix="0" xfId="0">
      <alignment horizontal="left" vertical="center"/>
    </xf>
    <xf numFmtId="0" fontId="2" fillId="2" borderId="35" applyAlignment="1" pivotButton="0" quotePrefix="0" xfId="0">
      <alignment horizontal="left" vertical="center"/>
    </xf>
    <xf numFmtId="0" fontId="5" fillId="2" borderId="37" applyAlignment="1" pivotButton="0" quotePrefix="0" xfId="0">
      <alignment horizontal="left" vertical="center"/>
    </xf>
    <xf numFmtId="0" fontId="5" fillId="2" borderId="38" applyAlignment="1" pivotButton="0" quotePrefix="0" xfId="0">
      <alignment horizontal="left" vertical="center"/>
    </xf>
    <xf numFmtId="0" fontId="2" fillId="2" borderId="39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left" vertical="center"/>
    </xf>
    <xf numFmtId="164" fontId="2" fillId="0" borderId="14" applyAlignment="1" pivotButton="0" quotePrefix="0" xfId="0">
      <alignment horizontal="center" vertical="center"/>
    </xf>
    <xf numFmtId="2" fontId="5" fillId="2" borderId="45" applyAlignment="1" pivotButton="0" quotePrefix="0" xfId="0">
      <alignment horizontal="center" vertical="center"/>
    </xf>
    <xf numFmtId="0" fontId="10" fillId="0" borderId="42" applyAlignment="1" pivotButton="0" quotePrefix="0" xfId="0">
      <alignment vertical="center"/>
    </xf>
    <xf numFmtId="0" fontId="2" fillId="2" borderId="44" applyAlignment="1" pivotButton="0" quotePrefix="0" xfId="0">
      <alignment vertical="center"/>
    </xf>
    <xf numFmtId="0" fontId="2" fillId="2" borderId="43" applyAlignment="1" pivotButton="0" quotePrefix="0" xfId="0">
      <alignment vertical="center"/>
    </xf>
    <xf numFmtId="164" fontId="5" fillId="2" borderId="14" applyAlignment="1" pivotButton="0" quotePrefix="0" xfId="0">
      <alignment vertical="center"/>
    </xf>
    <xf numFmtId="165" fontId="6" fillId="2" borderId="45" applyAlignment="1" pivotButton="0" quotePrefix="0" xfId="0">
      <alignment horizontal="center" vertical="center"/>
    </xf>
    <xf numFmtId="0" fontId="5" fillId="2" borderId="5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center" vertical="center"/>
    </xf>
    <xf numFmtId="2" fontId="2" fillId="2" borderId="48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164" fontId="13" fillId="2" borderId="0" applyAlignment="1" pivotButton="0" quotePrefix="0" xfId="0">
      <alignment horizontal="center" vertical="center"/>
    </xf>
    <xf numFmtId="2" fontId="13" fillId="2" borderId="48" applyAlignment="1" pivotButton="0" quotePrefix="0" xfId="0">
      <alignment horizontal="center" vertical="center"/>
    </xf>
    <xf numFmtId="0" fontId="5" fillId="2" borderId="12" applyAlignment="1" pivotButton="0" quotePrefix="0" xfId="0">
      <alignment horizontal="left" vertical="center"/>
    </xf>
    <xf numFmtId="0" fontId="5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14" fillId="2" borderId="49" applyAlignment="1" pivotButton="0" quotePrefix="0" xfId="0">
      <alignment horizontal="left" vertical="center"/>
    </xf>
    <xf numFmtId="164" fontId="5" fillId="2" borderId="13" applyAlignment="1" pivotButton="0" quotePrefix="0" xfId="0">
      <alignment horizontal="left" vertical="center"/>
    </xf>
    <xf numFmtId="164" fontId="5" fillId="2" borderId="13" applyAlignment="1" pivotButton="0" quotePrefix="0" xfId="0">
      <alignment horizontal="center" vertical="center"/>
    </xf>
    <xf numFmtId="2" fontId="2" fillId="2" borderId="50" applyAlignment="1" pivotButton="0" quotePrefix="0" xfId="0">
      <alignment horizontal="center" vertical="center"/>
    </xf>
    <xf numFmtId="166" fontId="10" fillId="0" borderId="46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0">
      <alignment horizontal="center" vertical="center" wrapText="1"/>
    </xf>
    <xf numFmtId="2" fontId="2" fillId="2" borderId="48" applyAlignment="1" pivotButton="0" quotePrefix="0" xfId="0">
      <alignment horizontal="center" vertical="center" wrapText="1"/>
    </xf>
    <xf numFmtId="164" fontId="5" fillId="0" borderId="41" applyAlignment="1" pivotButton="0" quotePrefix="0" xfId="0">
      <alignment horizontal="left" vertical="center" wrapText="1"/>
    </xf>
    <xf numFmtId="164" fontId="5" fillId="0" borderId="41" applyAlignment="1" pivotButton="0" quotePrefix="0" xfId="0">
      <alignment horizontal="left" vertical="center"/>
    </xf>
    <xf numFmtId="0" fontId="5" fillId="0" borderId="4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3" borderId="15" applyAlignment="1" pivotButton="0" quotePrefix="0" xfId="0">
      <alignment horizontal="center" vertical="center"/>
    </xf>
    <xf numFmtId="49" fontId="6" fillId="0" borderId="13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3" fillId="0" borderId="20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0" pivotButton="0" quotePrefix="0" xfId="0"/>
    <xf numFmtId="0" fontId="8" fillId="0" borderId="25" pivotButton="0" quotePrefix="0" xfId="6"/>
    <xf numFmtId="0" fontId="3" fillId="0" borderId="32" pivotButton="0" quotePrefix="0" xfId="0"/>
    <xf numFmtId="0" fontId="1" fillId="0" borderId="20" pivotButton="0" quotePrefix="0" xfId="0"/>
    <xf numFmtId="0" fontId="1" fillId="0" borderId="24" pivotButton="0" quotePrefix="0" xfId="0"/>
    <xf numFmtId="3" fontId="1" fillId="0" borderId="25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1" fillId="0" borderId="25" pivotButton="0" quotePrefix="0" xfId="0"/>
    <xf numFmtId="0" fontId="15" fillId="0" borderId="25" pivotButton="0" quotePrefix="0" xfId="7"/>
    <xf numFmtId="0" fontId="1" fillId="0" borderId="32" pivotButton="0" quotePrefix="0" xfId="0"/>
    <xf numFmtId="0" fontId="2" fillId="2" borderId="24" applyAlignment="1" pivotButton="0" quotePrefix="0" xfId="0">
      <alignment horizontal="left" vertical="center"/>
    </xf>
    <xf numFmtId="0" fontId="2" fillId="2" borderId="25" applyAlignment="1" pivotButton="0" quotePrefix="0" xfId="0">
      <alignment horizontal="left" vertical="center" wrapText="1"/>
    </xf>
    <xf numFmtId="0" fontId="2" fillId="2" borderId="25" applyAlignment="1" pivotButton="0" quotePrefix="0" xfId="0">
      <alignment horizontal="left" vertical="center"/>
    </xf>
    <xf numFmtId="3" fontId="2" fillId="2" borderId="25" applyAlignment="1" pivotButton="0" quotePrefix="0" xfId="0">
      <alignment horizontal="left" vertical="center"/>
    </xf>
    <xf numFmtId="0" fontId="2" fillId="2" borderId="36" applyAlignment="1" pivotButton="0" quotePrefix="0" xfId="0">
      <alignment horizontal="left" vertical="center"/>
    </xf>
    <xf numFmtId="164" fontId="2" fillId="2" borderId="40" applyAlignment="1" pivotButton="0" quotePrefix="0" xfId="0">
      <alignment horizontal="left" vertical="center"/>
    </xf>
    <xf numFmtId="1" fontId="5" fillId="0" borderId="41" applyAlignment="1" pivotButton="0" quotePrefix="0" xfId="0">
      <alignment horizontal="left" vertical="center"/>
    </xf>
    <xf numFmtId="0" fontId="5" fillId="0" borderId="43" applyAlignment="1" pivotButton="0" quotePrefix="0" xfId="0">
      <alignment horizontal="center" vertical="center"/>
    </xf>
    <xf numFmtId="0" fontId="10" fillId="0" borderId="47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8" applyAlignment="1" pivotButton="0" quotePrefix="0" xfId="0">
      <alignment horizontal="center" vertical="center"/>
    </xf>
    <xf numFmtId="166" fontId="10" fillId="0" borderId="58" applyAlignment="1" pivotButton="0" quotePrefix="0" xfId="0">
      <alignment horizontal="center" vertical="center"/>
    </xf>
    <xf numFmtId="49" fontId="9" fillId="0" borderId="57" applyAlignment="1" pivotButton="0" quotePrefix="0" xfId="0">
      <alignment horizontal="left" vertical="center"/>
    </xf>
    <xf numFmtId="1" fontId="10" fillId="0" borderId="57" applyAlignment="1" pivotButton="0" quotePrefix="0" xfId="0">
      <alignment horizontal="left" vertical="center"/>
    </xf>
    <xf numFmtId="3" fontId="10" fillId="0" borderId="57" applyAlignment="1" pivotButton="0" quotePrefix="0" xfId="0">
      <alignment horizontal="left" vertical="center"/>
    </xf>
    <xf numFmtId="49" fontId="9" fillId="0" borderId="57" applyAlignment="1" pivotButton="0" quotePrefix="0" xfId="0">
      <alignment horizontal="left" vertical="center" wrapText="1"/>
    </xf>
    <xf numFmtId="166" fontId="10" fillId="0" borderId="57" applyAlignment="1" pivotButton="0" quotePrefix="0" xfId="0">
      <alignment horizontal="left" vertical="center"/>
    </xf>
    <xf numFmtId="9" fontId="10" fillId="0" borderId="57" applyAlignment="1" pivotButton="0" quotePrefix="0" xfId="0">
      <alignment horizontal="left" vertical="center"/>
    </xf>
    <xf numFmtId="166" fontId="10" fillId="0" borderId="57" applyAlignment="1" pivotButton="0" quotePrefix="0" xfId="0">
      <alignment horizontal="center" vertical="center"/>
    </xf>
    <xf numFmtId="0" fontId="5" fillId="2" borderId="52" applyAlignment="1" pivotButton="0" quotePrefix="0" xfId="0">
      <alignment horizontal="left" vertical="center"/>
    </xf>
    <xf numFmtId="0" fontId="5" fillId="2" borderId="51" applyAlignment="1" pivotButton="0" quotePrefix="0" xfId="0">
      <alignment horizontal="left" vertical="center"/>
    </xf>
    <xf numFmtId="0" fontId="5" fillId="2" borderId="52" applyAlignment="1" pivotButton="0" quotePrefix="0" xfId="0">
      <alignment vertical="center"/>
    </xf>
    <xf numFmtId="0" fontId="5" fillId="2" borderId="51" applyAlignment="1" pivotButton="0" quotePrefix="0" xfId="0">
      <alignment vertical="center"/>
    </xf>
    <xf numFmtId="0" fontId="0" fillId="0" borderId="1" pivotButton="0" quotePrefix="0" xfId="0"/>
    <xf numFmtId="0" fontId="0" fillId="0" borderId="5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55" pivotButton="0" quotePrefix="0" xfId="0"/>
    <xf numFmtId="0" fontId="0" fillId="0" borderId="13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18" pivotButton="0" quotePrefix="0" xfId="0"/>
    <xf numFmtId="0" fontId="0" fillId="0" borderId="22" pivotButton="0" quotePrefix="0" xfId="0"/>
    <xf numFmtId="0" fontId="3" fillId="0" borderId="51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27" pivotButton="0" quotePrefix="0" xfId="0"/>
    <xf numFmtId="0" fontId="0" fillId="0" borderId="63" pivotButton="0" quotePrefix="0" xfId="0"/>
    <xf numFmtId="49" fontId="9" fillId="0" borderId="69" applyAlignment="1" pivotButton="0" quotePrefix="0" xfId="0">
      <alignment horizontal="left" vertical="center"/>
    </xf>
    <xf numFmtId="1" fontId="10" fillId="0" borderId="70" applyAlignment="1" pivotButton="0" quotePrefix="0" xfId="0">
      <alignment horizontal="left" vertical="center"/>
    </xf>
    <xf numFmtId="3" fontId="10" fillId="0" borderId="70" applyAlignment="1" pivotButton="0" quotePrefix="0" xfId="0">
      <alignment horizontal="left" vertical="center"/>
    </xf>
    <xf numFmtId="49" fontId="9" fillId="0" borderId="71" applyAlignment="1" pivotButton="0" quotePrefix="0" xfId="0">
      <alignment horizontal="left" vertical="center" wrapText="1"/>
    </xf>
    <xf numFmtId="0" fontId="0" fillId="0" borderId="72" pivotButton="0" quotePrefix="0" xfId="0"/>
    <xf numFmtId="166" fontId="10" fillId="0" borderId="70" applyAlignment="1" pivotButton="0" quotePrefix="0" xfId="0">
      <alignment horizontal="left" vertical="center"/>
    </xf>
    <xf numFmtId="9" fontId="10" fillId="0" borderId="70" applyAlignment="1" pivotButton="0" quotePrefix="0" xfId="0">
      <alignment horizontal="left" vertical="center"/>
    </xf>
    <xf numFmtId="166" fontId="16" fillId="0" borderId="73" applyAlignment="1" pivotButton="0" quotePrefix="0" xfId="0">
      <alignment horizontal="left" vertical="center"/>
    </xf>
    <xf numFmtId="1" fontId="6" fillId="0" borderId="69" applyAlignment="1" pivotButton="0" quotePrefix="0" xfId="0">
      <alignment horizontal="center" vertical="center"/>
    </xf>
    <xf numFmtId="3" fontId="6" fillId="0" borderId="70" applyAlignment="1" pivotButton="0" quotePrefix="0" xfId="0">
      <alignment horizontal="center" vertical="center"/>
    </xf>
    <xf numFmtId="0" fontId="6" fillId="0" borderId="70" applyAlignment="1" pivotButton="0" quotePrefix="0" xfId="0">
      <alignment horizontal="left" vertical="center" wrapText="1"/>
    </xf>
    <xf numFmtId="0" fontId="0" fillId="0" borderId="74" pivotButton="0" quotePrefix="0" xfId="0"/>
    <xf numFmtId="4" fontId="6" fillId="0" borderId="70" applyAlignment="1" pivotButton="0" quotePrefix="0" xfId="0">
      <alignment horizontal="center" vertical="center"/>
    </xf>
    <xf numFmtId="166" fontId="2" fillId="0" borderId="73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0" fillId="0" borderId="75" pivotButton="0" quotePrefix="0" xfId="0"/>
    <xf numFmtId="0" fontId="0" fillId="0" borderId="1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6" pivotButton="0" quotePrefix="0" xfId="0"/>
    <xf numFmtId="0" fontId="2" fillId="2" borderId="51" applyAlignment="1" pivotButton="0" quotePrefix="0" xfId="0">
      <alignment horizontal="left" vertical="center" wrapText="1"/>
    </xf>
    <xf numFmtId="164" fontId="2" fillId="2" borderId="51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left" vertical="center"/>
    </xf>
    <xf numFmtId="0" fontId="12" fillId="2" borderId="51" applyAlignment="1" pivotButton="0" quotePrefix="0" xfId="0">
      <alignment horizontal="left" vertical="center"/>
    </xf>
    <xf numFmtId="0" fontId="13" fillId="2" borderId="51" applyAlignment="1" pivotButton="0" quotePrefix="0" xfId="0">
      <alignment horizontal="left" vertical="center"/>
    </xf>
    <xf numFmtId="164" fontId="13" fillId="2" borderId="51" applyAlignment="1" pivotButton="0" quotePrefix="0" xfId="0">
      <alignment horizontal="center" vertical="center"/>
    </xf>
    <xf numFmtId="0" fontId="5" fillId="2" borderId="76" applyAlignment="1" pivotButton="0" quotePrefix="0" xfId="0">
      <alignment horizontal="center" vertical="center"/>
    </xf>
    <xf numFmtId="0" fontId="0" fillId="0" borderId="48" pivotButton="0" quotePrefix="0" xfId="0"/>
    <xf numFmtId="0" fontId="2" fillId="2" borderId="51" applyAlignment="1" pivotButton="0" quotePrefix="0" xfId="0">
      <alignment horizontal="left" vertical="center"/>
    </xf>
    <xf numFmtId="164" fontId="2" fillId="2" borderId="51" applyAlignment="1" pivotButton="0" quotePrefix="0" xfId="0">
      <alignment horizontal="center" vertical="center"/>
    </xf>
    <xf numFmtId="0" fontId="2" fillId="2" borderId="52" applyAlignment="1" pivotButton="0" quotePrefix="0" xfId="0">
      <alignment horizontal="center" vertical="center"/>
    </xf>
  </cellXfs>
  <cellStyles count="8">
    <cellStyle name="Normal" xfId="0" builtinId="0"/>
    <cellStyle name="Comma" xfId="1"/>
    <cellStyle name="Comma [0]" xfId="2"/>
    <cellStyle name="Currency" xfId="3"/>
    <cellStyle name="Currency [0]" xfId="4"/>
    <cellStyle name="Percent" xfId="5"/>
    <cellStyle name="*unknown*" xfId="6"/>
    <cellStyle name="Hiperlink" xfId="7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61"/>
  <sheetViews>
    <sheetView tabSelected="1" zoomScale="200" zoomScaleNormal="200" workbookViewId="0">
      <selection activeCell="H7" sqref="H7"/>
    </sheetView>
  </sheetViews>
  <sheetFormatPr baseColWidth="10" defaultColWidth="0" defaultRowHeight="13"/>
  <cols>
    <col width="15.5" customWidth="1" style="108" min="1" max="1"/>
    <col width="7.83203125" customWidth="1" style="108" min="2" max="2"/>
    <col width="13.1640625" customWidth="1" style="108" min="3" max="3"/>
    <col width="34" customWidth="1" style="108" min="4" max="4"/>
    <col width="16.5" customWidth="1" style="108" min="5" max="5"/>
    <col width="11.5" customWidth="1" style="3" min="6" max="6"/>
    <col width="10" customWidth="1" style="3" min="7" max="7"/>
    <col width="18.83203125" customWidth="1" style="3" min="8" max="8"/>
    <col hidden="1" width="11" customWidth="1" style="4" min="9" max="257"/>
    <col hidden="1" width="11" customWidth="1" min="258" max="16384"/>
  </cols>
  <sheetData>
    <row r="1" ht="12.75" customHeight="1">
      <c r="A1" s="81" t="n"/>
      <c r="B1" s="5" t="n"/>
      <c r="C1" s="5" t="n"/>
      <c r="D1" s="71" t="inlineStr">
        <is>
          <t>PEDIDO DE COMPRA</t>
        </is>
      </c>
      <c r="E1" s="122" t="n"/>
      <c r="F1" s="6" t="n"/>
      <c r="G1" s="72" t="n"/>
      <c r="H1" s="123" t="n"/>
    </row>
    <row r="2" ht="12.75" customHeight="1">
      <c r="A2" s="7" t="n"/>
      <c r="B2" s="8" t="n"/>
      <c r="C2" s="8" t="n"/>
      <c r="D2" s="124" t="n"/>
      <c r="F2" s="9" t="n"/>
      <c r="G2" s="124" t="n"/>
    </row>
    <row r="3" ht="12.75" customHeight="1">
      <c r="A3" s="7" t="n"/>
      <c r="B3" s="8" t="n"/>
      <c r="C3" s="8" t="n"/>
      <c r="D3" s="124" t="n"/>
      <c r="F3" s="9" t="n"/>
      <c r="G3" s="73" t="n"/>
    </row>
    <row r="4" ht="12.75" customHeight="1">
      <c r="A4" s="7" t="n"/>
      <c r="B4" s="8" t="n"/>
      <c r="C4" s="8" t="n"/>
      <c r="D4" s="124" t="n"/>
      <c r="F4" s="9" t="n"/>
      <c r="G4" s="124" t="n"/>
    </row>
    <row r="5" ht="12.75" customHeight="1">
      <c r="A5" s="7" t="n"/>
      <c r="B5" s="8" t="n"/>
      <c r="C5" s="8" t="n"/>
      <c r="D5" s="124" t="n"/>
      <c r="F5" s="9" t="n"/>
      <c r="G5" s="74" t="n"/>
    </row>
    <row r="6" ht="12.75" customHeight="1">
      <c r="A6" s="10" t="n"/>
      <c r="B6" s="11" t="n"/>
      <c r="C6" s="11" t="n"/>
      <c r="D6" s="124" t="n"/>
      <c r="F6" s="12" t="n"/>
      <c r="G6" s="125" t="n"/>
      <c r="H6" s="126" t="n"/>
    </row>
    <row r="7" ht="27.75" customHeight="1" thickBot="1">
      <c r="A7" s="13" t="inlineStr">
        <is>
          <t>PEDIDO Nº:</t>
        </is>
      </c>
      <c r="B7" s="76" t="inlineStr">
        <is>
          <t>003-ELETRICA</t>
        </is>
      </c>
      <c r="C7" s="127" t="n"/>
      <c r="D7" s="14" t="inlineStr">
        <is>
          <t>EMPREENDIMENTO:</t>
        </is>
      </c>
      <c r="E7" s="15" t="inlineStr">
        <is>
          <t>RYT PAULISTA</t>
        </is>
      </c>
      <c r="F7" s="16" t="n"/>
      <c r="G7" s="17" t="inlineStr">
        <is>
          <t>DATA:</t>
        </is>
      </c>
      <c r="H7" s="70" t="inlineStr">
        <is>
          <t>19/06/2026</t>
        </is>
      </c>
    </row>
    <row r="8" ht="22.5" customHeight="1" thickBot="1">
      <c r="A8" s="75" t="inlineStr">
        <is>
          <t>PEDIDO DE COMPRA</t>
        </is>
      </c>
      <c r="B8" s="122" t="n"/>
      <c r="C8" s="122" t="n"/>
      <c r="D8" s="122" t="n"/>
      <c r="E8" s="122" t="n"/>
      <c r="F8" s="122" t="n"/>
      <c r="G8" s="122" t="n"/>
      <c r="H8" s="122" t="n"/>
    </row>
    <row r="9" ht="18" customHeight="1">
      <c r="A9" s="77" t="inlineStr">
        <is>
          <t>DADOS DA EMPRESA CONTRATADA DIRETAMENTE PELA BELA VISTA</t>
        </is>
      </c>
      <c r="B9" s="128" t="n"/>
      <c r="C9" s="128" t="n"/>
      <c r="D9" s="128" t="n"/>
      <c r="E9" s="128" t="n"/>
      <c r="F9" s="128" t="n"/>
      <c r="G9" s="128" t="n"/>
      <c r="H9" s="128" t="n"/>
    </row>
    <row r="10" ht="17.25" customHeight="1">
      <c r="A10" s="18" t="inlineStr">
        <is>
          <t>Razão Social:</t>
        </is>
      </c>
      <c r="B10" s="19" t="n"/>
      <c r="C10" s="20" t="n"/>
      <c r="D10" s="78" t="inlineStr">
        <is>
          <t>DEMA INSTALAÇÕES ELÉTRICAS, HIDRÁULICAS E MANUTENÇÕES LTDA</t>
        </is>
      </c>
      <c r="E10" s="129" t="n"/>
      <c r="F10" s="129" t="n"/>
      <c r="G10" s="129" t="n"/>
      <c r="H10" s="129" t="n"/>
    </row>
    <row r="11">
      <c r="A11" s="21" t="inlineStr">
        <is>
          <t>C.N.P.J:</t>
        </is>
      </c>
      <c r="B11" s="22" t="n"/>
      <c r="C11" s="23" t="n"/>
      <c r="D11" s="79" t="inlineStr">
        <is>
          <t>07.944.979/0001-03</t>
        </is>
      </c>
      <c r="E11" s="130" t="n"/>
      <c r="F11" s="130" t="n"/>
      <c r="G11" s="130" t="n"/>
      <c r="H11" s="130" t="n"/>
    </row>
    <row r="12">
      <c r="A12" s="21" t="inlineStr">
        <is>
          <t>I.E:</t>
        </is>
      </c>
      <c r="B12" s="22" t="n"/>
      <c r="C12" s="23" t="n"/>
      <c r="D12" s="80" t="inlineStr">
        <is>
          <t>126.622.481.114</t>
        </is>
      </c>
      <c r="E12" s="131" t="n"/>
      <c r="F12" s="131" t="n"/>
      <c r="G12" s="131" t="n"/>
      <c r="H12" s="131" t="n"/>
    </row>
    <row r="13">
      <c r="A13" s="21" t="inlineStr">
        <is>
          <t>Endereço:</t>
        </is>
      </c>
      <c r="B13" s="22" t="n"/>
      <c r="C13" s="23" t="n"/>
      <c r="D13" s="132" t="inlineStr">
        <is>
          <t>Av. Brigadeiro Luís Antônio, 3097, Jardim Paulista, São Paulo - SP</t>
        </is>
      </c>
    </row>
    <row r="14">
      <c r="A14" s="21" t="inlineStr">
        <is>
          <t>Telefone:</t>
        </is>
      </c>
      <c r="B14" s="22" t="n"/>
      <c r="C14" s="23" t="n"/>
      <c r="D14" s="80" t="inlineStr">
        <is>
          <t>(11) 94794-1317</t>
        </is>
      </c>
      <c r="E14" s="131" t="n"/>
      <c r="F14" s="131" t="n"/>
      <c r="G14" s="131" t="n"/>
      <c r="H14" s="131" t="n"/>
    </row>
    <row r="15">
      <c r="A15" s="24" t="inlineStr">
        <is>
          <t>Email:</t>
        </is>
      </c>
      <c r="B15" s="25" t="n"/>
      <c r="C15" s="26" t="n"/>
      <c r="D15" s="82" t="inlineStr">
        <is>
          <t>vendas@demainstalacoes.com.br</t>
        </is>
      </c>
      <c r="E15" s="131" t="n"/>
      <c r="F15" s="131" t="n"/>
      <c r="G15" s="131" t="n"/>
      <c r="H15" s="131" t="n"/>
    </row>
    <row r="16">
      <c r="A16" s="27" t="inlineStr">
        <is>
          <t>Nome do contato:</t>
        </is>
      </c>
      <c r="B16" s="28" t="n"/>
      <c r="C16" s="29" t="n"/>
      <c r="D16" s="83" t="inlineStr">
        <is>
          <t>Rebeca Meneses</t>
        </is>
      </c>
      <c r="E16" s="133" t="n"/>
      <c r="F16" s="133" t="n"/>
      <c r="G16" s="133" t="n"/>
      <c r="H16" s="133" t="n"/>
    </row>
    <row r="17" ht="18" customHeight="1">
      <c r="A17" s="77" t="inlineStr">
        <is>
          <t>DADOS DO FORNECEDOR TERCEIRO</t>
        </is>
      </c>
      <c r="B17" s="128" t="n"/>
      <c r="C17" s="128" t="n"/>
      <c r="D17" s="128" t="n"/>
      <c r="E17" s="128" t="n"/>
      <c r="F17" s="128" t="n"/>
      <c r="G17" s="128" t="n"/>
      <c r="H17" s="128" t="n"/>
    </row>
    <row r="18">
      <c r="A18" s="18" t="inlineStr">
        <is>
          <t>Razão Social:</t>
        </is>
      </c>
      <c r="B18" s="19" t="n"/>
      <c r="C18" s="20" t="n"/>
      <c r="D18" s="84" t="inlineStr">
        <is>
          <t>FF GUARULHOS</t>
        </is>
      </c>
      <c r="E18" s="129" t="n"/>
      <c r="F18" s="129" t="n"/>
      <c r="G18" s="129" t="n"/>
      <c r="H18" s="129" t="n"/>
    </row>
    <row r="19">
      <c r="A19" s="21" t="inlineStr">
        <is>
          <t>C.N.P.J:</t>
        </is>
      </c>
      <c r="B19" s="22" t="n"/>
      <c r="C19" s="23" t="n"/>
      <c r="D19" s="85" t="inlineStr">
        <is>
          <t>07.716.473/0001-39</t>
        </is>
      </c>
      <c r="E19" s="130" t="n"/>
      <c r="F19" s="130" t="n"/>
      <c r="G19" s="130" t="n"/>
      <c r="H19" s="130" t="n"/>
    </row>
    <row r="20">
      <c r="A20" s="21" t="inlineStr">
        <is>
          <t>I.E:</t>
        </is>
      </c>
      <c r="B20" s="22" t="n"/>
      <c r="C20" s="23" t="n"/>
      <c r="D20" s="86" t="inlineStr">
        <is>
          <t>ISENTO</t>
        </is>
      </c>
      <c r="E20" s="131" t="n"/>
      <c r="F20" s="131" t="n"/>
      <c r="G20" s="131" t="n"/>
      <c r="H20" s="131" t="n"/>
    </row>
    <row r="21">
      <c r="A21" s="21" t="inlineStr">
        <is>
          <t>Endereço:</t>
        </is>
      </c>
      <c r="B21" s="22" t="n"/>
      <c r="C21" s="23" t="n"/>
      <c r="D21" s="88" t="inlineStr">
        <is>
          <t>AV. SETE DE SETEMBRO, 2018 - VILA GALVÃO - GUARULHOS/SP - CEP 07064-002</t>
        </is>
      </c>
      <c r="E21" s="131" t="n"/>
      <c r="F21" s="131" t="n"/>
      <c r="G21" s="131" t="n"/>
      <c r="H21" s="131" t="n"/>
    </row>
    <row r="22">
      <c r="A22" s="21" t="inlineStr">
        <is>
          <t>Telefone:</t>
        </is>
      </c>
      <c r="B22" s="22" t="n"/>
      <c r="C22" s="23" t="n"/>
      <c r="D22" s="88" t="inlineStr">
        <is>
          <t>(11) 2453-6840</t>
        </is>
      </c>
      <c r="E22" s="131" t="n"/>
      <c r="F22" s="131" t="n"/>
      <c r="G22" s="131" t="n"/>
      <c r="H22" s="131" t="n"/>
    </row>
    <row r="23">
      <c r="A23" s="24" t="inlineStr">
        <is>
          <t>Email:</t>
        </is>
      </c>
      <c r="B23" s="25" t="n"/>
      <c r="C23" s="26" t="n"/>
      <c r="D23" s="89" t="inlineStr">
        <is>
          <t>sidny@ffguarulhos.com.br</t>
        </is>
      </c>
      <c r="E23" s="131" t="n"/>
      <c r="F23" s="131" t="n"/>
      <c r="G23" s="131" t="n"/>
      <c r="H23" s="131" t="n"/>
    </row>
    <row r="24">
      <c r="A24" s="27" t="inlineStr">
        <is>
          <t>Nome do contato:</t>
        </is>
      </c>
      <c r="B24" s="28" t="n"/>
      <c r="C24" s="29" t="n"/>
      <c r="D24" s="90" t="inlineStr">
        <is>
          <t>Sidny</t>
        </is>
      </c>
      <c r="E24" s="133" t="n"/>
      <c r="F24" s="133" t="n"/>
      <c r="G24" s="133" t="n"/>
      <c r="H24" s="133" t="n"/>
    </row>
    <row r="25" ht="18" customHeight="1">
      <c r="A25" s="77" t="inlineStr">
        <is>
          <t>DADOS PARA FATURAMENTO</t>
        </is>
      </c>
      <c r="B25" s="128" t="n"/>
      <c r="C25" s="128" t="n"/>
      <c r="D25" s="128" t="n"/>
      <c r="E25" s="128" t="n"/>
      <c r="F25" s="128" t="n"/>
      <c r="G25" s="128" t="n"/>
      <c r="H25" s="128" t="n"/>
    </row>
    <row r="26">
      <c r="A26" s="18" t="inlineStr">
        <is>
          <t>Razão Social:</t>
        </is>
      </c>
      <c r="B26" s="19" t="n"/>
      <c r="C26" s="20" t="n"/>
      <c r="D26" s="91" t="inlineStr">
        <is>
          <t>BELA VISTA EMPREENDIMENTO IMOBILIÁRIO S.A.</t>
        </is>
      </c>
      <c r="E26" s="130" t="n"/>
      <c r="F26" s="130" t="n"/>
      <c r="G26" s="130" t="n"/>
      <c r="H26" s="130" t="n"/>
    </row>
    <row r="27" ht="13" customHeight="1">
      <c r="A27" s="21" t="inlineStr">
        <is>
          <t>Endereço:</t>
        </is>
      </c>
      <c r="B27" s="22" t="n"/>
      <c r="C27" s="23" t="n"/>
      <c r="D27" s="92" t="inlineStr">
        <is>
          <t>AV DAS NAÇÕES UNIDAS, 14401 - ANDAR 5 B1 - VILA GERTRUDES - SÃO PAULO/SP</t>
        </is>
      </c>
      <c r="E27" s="131" t="n"/>
      <c r="F27" s="131" t="n"/>
      <c r="G27" s="131" t="n"/>
      <c r="H27" s="131" t="n"/>
    </row>
    <row r="28">
      <c r="A28" s="21" t="inlineStr">
        <is>
          <t>C.N.P.J:</t>
        </is>
      </c>
      <c r="B28" s="22" t="n"/>
      <c r="C28" s="23" t="n"/>
      <c r="D28" s="93" t="inlineStr">
        <is>
          <t>47.312.779/0001-44</t>
        </is>
      </c>
      <c r="E28" s="131" t="n"/>
      <c r="F28" s="131" t="n"/>
      <c r="G28" s="131" t="n"/>
      <c r="H28" s="131" t="n"/>
    </row>
    <row r="29">
      <c r="A29" s="21" t="inlineStr">
        <is>
          <t>I.E:</t>
        </is>
      </c>
      <c r="B29" s="22" t="n"/>
      <c r="C29" s="23" t="n"/>
      <c r="D29" s="94" t="inlineStr">
        <is>
          <t>-</t>
        </is>
      </c>
      <c r="E29" s="131" t="n"/>
      <c r="F29" s="131" t="n"/>
      <c r="G29" s="131" t="n"/>
      <c r="H29" s="131" t="n"/>
    </row>
    <row r="30">
      <c r="A30" s="30" t="inlineStr">
        <is>
          <t>Telefone:</t>
        </is>
      </c>
      <c r="B30" s="31" t="n"/>
      <c r="C30" s="32" t="n"/>
      <c r="D30" s="95" t="inlineStr">
        <is>
          <t>(11) 3465-7000</t>
        </is>
      </c>
      <c r="E30" s="134" t="n"/>
      <c r="F30" s="134" t="n"/>
      <c r="G30" s="134" t="n"/>
      <c r="H30" s="134" t="n"/>
    </row>
    <row r="31" ht="18" customHeight="1">
      <c r="A31" s="77" t="inlineStr">
        <is>
          <t>DADOS PARA ENTREGA</t>
        </is>
      </c>
      <c r="B31" s="128" t="n"/>
      <c r="C31" s="128" t="n"/>
      <c r="D31" s="128" t="n"/>
      <c r="E31" s="128" t="n"/>
      <c r="F31" s="128" t="n"/>
      <c r="G31" s="128" t="n"/>
      <c r="H31" s="128" t="n"/>
    </row>
    <row r="32">
      <c r="A32" s="33" t="inlineStr">
        <is>
          <t>Razão Social:</t>
        </is>
      </c>
      <c r="B32" s="34" t="n"/>
      <c r="C32" s="35" t="n"/>
      <c r="D32" s="91" t="inlineStr">
        <is>
          <t>BELA VISTA EMPREENDIMENTO IMOBILIÁRIO S.A.</t>
        </is>
      </c>
      <c r="E32" s="130" t="n"/>
      <c r="F32" s="130" t="n"/>
      <c r="G32" s="130" t="n"/>
      <c r="H32" s="130" t="n"/>
    </row>
    <row r="33" ht="13" customHeight="1">
      <c r="A33" s="21" t="inlineStr">
        <is>
          <t>Endereço:</t>
        </is>
      </c>
      <c r="B33" s="22" t="n"/>
      <c r="C33" s="23" t="n"/>
      <c r="D33" s="92" t="inlineStr">
        <is>
          <t>RUA DOUTOR PENAFORTE MENDES, 74 - BELA VISTA - CEP 01308-010</t>
        </is>
      </c>
      <c r="E33" s="131" t="n"/>
      <c r="F33" s="131" t="n"/>
      <c r="G33" s="131" t="n"/>
      <c r="H33" s="131" t="n"/>
    </row>
    <row r="34">
      <c r="A34" s="21" t="inlineStr">
        <is>
          <t>C.N.P.J:</t>
        </is>
      </c>
      <c r="B34" s="22" t="n"/>
      <c r="C34" s="23" t="n"/>
      <c r="D34" s="93" t="inlineStr">
        <is>
          <t>47.312.779/0001-44</t>
        </is>
      </c>
      <c r="E34" s="131" t="n"/>
      <c r="F34" s="131" t="n"/>
      <c r="G34" s="131" t="n"/>
      <c r="H34" s="131" t="n"/>
    </row>
    <row r="35">
      <c r="A35" s="21" t="inlineStr">
        <is>
          <t>I.E:</t>
        </is>
      </c>
      <c r="B35" s="22" t="n"/>
      <c r="C35" s="23" t="n"/>
      <c r="D35" s="94" t="inlineStr">
        <is>
          <t>-</t>
        </is>
      </c>
      <c r="E35" s="131" t="n"/>
      <c r="F35" s="131" t="n"/>
      <c r="G35" s="131" t="n"/>
      <c r="H35" s="131" t="n"/>
    </row>
    <row r="36">
      <c r="A36" s="24" t="inlineStr">
        <is>
          <t>Telefone:</t>
        </is>
      </c>
      <c r="B36" s="25" t="n"/>
      <c r="C36" s="26" t="n"/>
      <c r="D36" s="96" t="inlineStr">
        <is>
          <t>(11) 99117-5741 - Antônio</t>
        </is>
      </c>
      <c r="E36" s="135" t="n"/>
      <c r="F36" s="135" t="n"/>
      <c r="G36" s="135" t="n"/>
      <c r="H36" s="135" t="n"/>
    </row>
    <row r="37" ht="30" customHeight="1" thickBot="1" thickTop="1">
      <c r="A37" s="67" t="inlineStr">
        <is>
          <t>CÓD. DO ITEM</t>
        </is>
      </c>
      <c r="B37" s="68" t="inlineStr">
        <is>
          <t>QUANT.</t>
        </is>
      </c>
      <c r="C37" s="69" t="inlineStr">
        <is>
          <t>UN.</t>
        </is>
      </c>
      <c r="D37" s="97" t="inlineStr">
        <is>
          <t>PRODUTO</t>
        </is>
      </c>
      <c r="E37" s="136" t="n"/>
      <c r="F37" s="68" t="inlineStr">
        <is>
          <t>R$ UNIT.</t>
        </is>
      </c>
      <c r="G37" s="68" t="inlineStr">
        <is>
          <t>% IPI</t>
        </is>
      </c>
      <c r="H37" s="68" t="inlineStr">
        <is>
          <t>R$ SUB-TOTAL</t>
        </is>
      </c>
    </row>
    <row r="38" ht="24.5" customHeight="1" thickBot="1">
      <c r="A38" s="137" t="n">
        <v>64</v>
      </c>
      <c r="B38" s="138" t="n">
        <v>5</v>
      </c>
      <c r="C38" s="139" t="inlineStr">
        <is>
          <t>RL</t>
        </is>
      </c>
      <c r="D38" s="140" t="inlineStr">
        <is>
          <t>DUTO CORRUG PEAD EN 4 110MM 50 MT</t>
        </is>
      </c>
      <c r="E38" s="141" t="n"/>
      <c r="F38" s="142" t="n">
        <v>413.394</v>
      </c>
      <c r="G38" s="143" t="n"/>
      <c r="H38" s="144">
        <f>F38*B38</f>
        <v/>
      </c>
    </row>
    <row r="39" ht="24.5" customHeight="1">
      <c r="A39" s="137" t="n">
        <v>65</v>
      </c>
      <c r="B39" s="138" t="n">
        <v>1</v>
      </c>
      <c r="C39" s="139" t="inlineStr">
        <is>
          <t>RL</t>
        </is>
      </c>
      <c r="D39" s="140" t="inlineStr">
        <is>
          <t>DUTO CORRUG PEAD EN 1 1/2 50MM 50 MT</t>
        </is>
      </c>
      <c r="E39" s="141" t="n"/>
      <c r="F39" s="142" t="n">
        <v>149.32</v>
      </c>
      <c r="G39" s="143" t="n"/>
      <c r="H39" s="144">
        <f>F39*B39</f>
        <v/>
      </c>
    </row>
    <row r="40" ht="24.5" customHeight="1">
      <c r="A40" s="137" t="n">
        <v>66</v>
      </c>
      <c r="B40" s="138" t="n">
        <v>1</v>
      </c>
      <c r="C40" s="139" t="inlineStr">
        <is>
          <t>RL</t>
        </is>
      </c>
      <c r="D40" s="140" t="inlineStr">
        <is>
          <t>DUTO CORRUG PEAD EN 3 90MM 50 MT</t>
        </is>
      </c>
      <c r="E40" s="141" t="n"/>
      <c r="F40" s="142" t="n">
        <v>344.23</v>
      </c>
      <c r="G40" s="143" t="n"/>
      <c r="H40" s="144">
        <f>F40*B40</f>
        <v/>
      </c>
    </row>
    <row r="41" ht="24.5" customHeight="1">
      <c r="A41" s="137" t="n">
        <v>67</v>
      </c>
      <c r="B41" s="138" t="n">
        <v>1</v>
      </c>
      <c r="C41" s="139" t="inlineStr">
        <is>
          <t>RL</t>
        </is>
      </c>
      <c r="D41" s="140" t="inlineStr">
        <is>
          <t>DUTO CORRUG PEAD EN 2 63MM 50 MT</t>
        </is>
      </c>
      <c r="E41" s="141" t="n"/>
      <c r="F41" s="142" t="n">
        <v>212.2</v>
      </c>
      <c r="G41" s="143" t="n"/>
      <c r="H41" s="144">
        <f>F41*B41</f>
        <v/>
      </c>
    </row>
    <row r="42" ht="24.5" customHeight="1">
      <c r="A42" s="137" t="n">
        <v>68</v>
      </c>
      <c r="B42" s="138" t="n">
        <v>4</v>
      </c>
      <c r="C42" s="139" t="inlineStr">
        <is>
          <t>PC</t>
        </is>
      </c>
      <c r="D42" s="140" t="inlineStr">
        <is>
          <t>HASTE TERRA 5/8 2,40</t>
        </is>
      </c>
      <c r="E42" s="141" t="n"/>
      <c r="F42" s="142" t="n">
        <v>35.705</v>
      </c>
      <c r="G42" s="143" t="n"/>
      <c r="H42" s="144">
        <f>F42*B42</f>
        <v/>
      </c>
    </row>
    <row r="43" ht="24.5" customHeight="1">
      <c r="A43" s="137" t="n">
        <v>69</v>
      </c>
      <c r="B43" s="138" t="n">
        <v>4</v>
      </c>
      <c r="C43" s="139" t="inlineStr">
        <is>
          <t>PC</t>
        </is>
      </c>
      <c r="D43" s="140" t="inlineStr">
        <is>
          <t>CONECTOR P/ HASTE TERRA DUPLO 1/2 A 5/8</t>
        </is>
      </c>
      <c r="E43" s="141" t="n"/>
      <c r="F43" s="142" t="n">
        <v>9.324999999999999</v>
      </c>
      <c r="G43" s="143" t="n"/>
      <c r="H43" s="144">
        <f>F43*B43</f>
        <v/>
      </c>
    </row>
    <row r="44" ht="24.5" customHeight="1">
      <c r="A44" s="137" t="n">
        <v>70</v>
      </c>
      <c r="B44" s="138" t="n">
        <v>1</v>
      </c>
      <c r="C44" s="139" t="inlineStr">
        <is>
          <t>PC</t>
        </is>
      </c>
      <c r="D44" s="140" t="inlineStr">
        <is>
          <t>CONECTOR P/ HASTE TERRA DUPLO 1/2 A 5/8</t>
        </is>
      </c>
      <c r="E44" s="141" t="n"/>
      <c r="F44" s="142" t="n">
        <v>9.32</v>
      </c>
      <c r="G44" s="143" t="n"/>
      <c r="H44" s="144">
        <f>F44*B44</f>
        <v/>
      </c>
    </row>
    <row r="45" ht="24.5" customHeight="1">
      <c r="A45" s="137" t="n">
        <v>71</v>
      </c>
      <c r="B45" s="138" t="n">
        <v>4</v>
      </c>
      <c r="C45" s="139" t="inlineStr">
        <is>
          <t>PC</t>
        </is>
      </c>
      <c r="D45" s="140" t="inlineStr">
        <is>
          <t>CX INSP CONICA PLAST 250X250MM</t>
        </is>
      </c>
      <c r="E45" s="141" t="n"/>
      <c r="F45" s="142" t="n">
        <v>15.3725</v>
      </c>
      <c r="G45" s="143" t="n"/>
      <c r="H45" s="144">
        <f>F45*B45</f>
        <v/>
      </c>
    </row>
    <row r="46" ht="24.5" customHeight="1">
      <c r="A46" s="137" t="n">
        <v>72</v>
      </c>
      <c r="B46" s="138" t="n">
        <v>4</v>
      </c>
      <c r="C46" s="139" t="inlineStr">
        <is>
          <t>PC</t>
        </is>
      </c>
      <c r="D46" s="140" t="inlineStr">
        <is>
          <t>TAMPA GALV FOGO 250MM</t>
        </is>
      </c>
      <c r="E46" s="141" t="n"/>
      <c r="F46" s="142" t="n">
        <v>48.125</v>
      </c>
      <c r="G46" s="143" t="n"/>
      <c r="H46" s="144">
        <f>F46*B46</f>
        <v/>
      </c>
    </row>
    <row r="47" ht="24.5" customFormat="1" customHeight="1" s="120">
      <c r="A47" s="137" t="n">
        <v>73</v>
      </c>
      <c r="B47" s="138" t="n">
        <v>1</v>
      </c>
      <c r="C47" s="139" t="inlineStr">
        <is>
          <t>MT</t>
        </is>
      </c>
      <c r="D47" s="140" t="inlineStr">
        <is>
          <t>CABO NU INTER (F) 50 MM (19 FIOS)</t>
        </is>
      </c>
      <c r="E47" s="141" t="n"/>
      <c r="F47" s="142" t="n">
        <v>47.2</v>
      </c>
      <c r="G47" s="143" t="n"/>
      <c r="H47" s="144">
        <f>F47*B47</f>
        <v/>
      </c>
    </row>
    <row r="48" ht="15" customHeight="1">
      <c r="A48" s="145" t="n"/>
      <c r="B48" s="146" t="n"/>
      <c r="C48" s="146" t="n"/>
      <c r="D48" s="147" t="n"/>
      <c r="E48" s="148" t="n"/>
      <c r="F48" s="149" t="n"/>
      <c r="G48" s="146" t="n"/>
      <c r="H48" s="150" t="n"/>
    </row>
    <row r="49">
      <c r="A49" s="151" t="n"/>
      <c r="B49" s="123" t="n"/>
      <c r="C49" s="123" t="n"/>
      <c r="D49" s="123" t="n"/>
      <c r="E49" s="152" t="n"/>
      <c r="F49" s="98" t="inlineStr">
        <is>
          <t>SUB-TOTAL</t>
        </is>
      </c>
      <c r="G49" s="153" t="n"/>
      <c r="H49" s="63">
        <f>SUM(H38:H47)</f>
        <v/>
      </c>
    </row>
    <row r="50">
      <c r="A50" s="154" t="n"/>
      <c r="E50" s="155" t="n"/>
      <c r="F50" s="98" t="inlineStr">
        <is>
          <t>FRETE</t>
        </is>
      </c>
      <c r="G50" s="153" t="n"/>
      <c r="H50" s="63" t="n">
        <v>0</v>
      </c>
    </row>
    <row r="51">
      <c r="A51" s="156" t="n"/>
      <c r="B51" s="126" t="n"/>
      <c r="C51" s="126" t="n"/>
      <c r="D51" s="126" t="n"/>
      <c r="E51" s="157" t="n"/>
      <c r="F51" s="98" t="inlineStr">
        <is>
          <t>TOTAL GERAL</t>
        </is>
      </c>
      <c r="G51" s="153" t="n"/>
      <c r="H51" s="63">
        <f>H49+H50</f>
        <v/>
      </c>
    </row>
    <row r="52" ht="9" customHeight="1">
      <c r="A52" s="36" t="n"/>
      <c r="B52" s="37" t="n"/>
      <c r="C52" s="37" t="n"/>
      <c r="D52" s="38" t="n"/>
      <c r="E52" s="38" t="n"/>
      <c r="F52" s="39" t="n"/>
      <c r="G52" s="39" t="n"/>
      <c r="H52" s="40" t="n"/>
    </row>
    <row r="53">
      <c r="A53" s="41" t="inlineStr">
        <is>
          <t>Data prevista pagamento:</t>
        </is>
      </c>
      <c r="B53" s="42" t="n"/>
      <c r="C53" s="99" t="inlineStr">
        <is>
          <t>28 DDL</t>
        </is>
      </c>
      <c r="D53" s="153" t="n"/>
      <c r="E53" s="43" t="n"/>
      <c r="F53" s="41" t="inlineStr">
        <is>
          <t>Prazo de Entrega:</t>
        </is>
      </c>
      <c r="G53" s="44" t="n"/>
      <c r="H53" s="45" t="inlineStr">
        <is>
          <t>Até 2 dias</t>
        </is>
      </c>
    </row>
    <row r="54">
      <c r="A54" s="118" t="inlineStr">
        <is>
          <t>Observações:</t>
        </is>
      </c>
      <c r="B54" s="119" t="n"/>
      <c r="C54" s="158" t="n"/>
      <c r="D54" s="158" t="n"/>
      <c r="E54" s="158" t="n"/>
      <c r="F54" s="159" t="n"/>
      <c r="G54" s="159" t="n"/>
      <c r="H54" s="66" t="n"/>
    </row>
    <row r="55" ht="19.5" customHeight="1">
      <c r="A55" s="160" t="inlineStr">
        <is>
          <t>PEDIDO DO FORNECEDOR:</t>
        </is>
      </c>
      <c r="B55" s="161" t="n"/>
      <c r="C55" s="162" t="inlineStr">
        <is>
          <t>847.627</t>
        </is>
      </c>
      <c r="D55" s="162" t="n"/>
      <c r="E55" s="162" t="n"/>
      <c r="F55" s="163" t="n"/>
      <c r="G55" s="163" t="n"/>
      <c r="H55" s="55" t="n"/>
    </row>
    <row r="56" ht="19.5" customHeight="1">
      <c r="A56" s="160" t="inlineStr">
        <is>
          <t>Enviar dados para depósito junto com a NF. Frete CIF. Impostos inclusos. Sem IPI conforme cotação.</t>
        </is>
      </c>
      <c r="B56" s="161" t="n"/>
      <c r="C56" s="162" t="n"/>
      <c r="D56" s="162" t="n"/>
      <c r="E56" s="162" t="n"/>
      <c r="F56" s="163" t="n"/>
      <c r="G56" s="163" t="n"/>
      <c r="H56" s="55" t="n"/>
    </row>
    <row r="57">
      <c r="A57" s="164" t="inlineStr">
        <is>
          <t>Inserir na obs da nota fiscal referente ao pedido 003-ELETRICA de elétrica</t>
        </is>
      </c>
      <c r="H57" s="165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  <c r="AA57" s="121" t="n"/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  <c r="AK57" s="121" t="n"/>
      <c r="AL57" s="121" t="n"/>
      <c r="AM57" s="121" t="n"/>
      <c r="AN57" s="121" t="n"/>
      <c r="AO57" s="121" t="n"/>
      <c r="AP57" s="121" t="n"/>
      <c r="AQ57" s="121" t="n"/>
      <c r="AR57" s="121" t="n"/>
      <c r="AS57" s="121" t="n"/>
      <c r="AT57" s="121" t="n"/>
      <c r="AU57" s="121" t="n"/>
      <c r="AV57" s="121" t="n"/>
      <c r="AW57" s="121" t="n"/>
      <c r="AX57" s="121" t="n"/>
      <c r="AY57" s="121" t="n"/>
      <c r="AZ57" s="121" t="n"/>
      <c r="BA57" s="121" t="n"/>
      <c r="BB57" s="121" t="n"/>
      <c r="BC57" s="121" t="n"/>
      <c r="BD57" s="121" t="n"/>
      <c r="BE57" s="121" t="n"/>
      <c r="BF57" s="121" t="n"/>
      <c r="BG57" s="121" t="n"/>
      <c r="BH57" s="121" t="n"/>
      <c r="BI57" s="121" t="n"/>
      <c r="BJ57" s="121" t="n"/>
      <c r="BK57" s="121" t="n"/>
      <c r="BL57" s="121" t="n"/>
      <c r="BM57" s="121" t="n"/>
      <c r="BN57" s="121" t="n"/>
      <c r="BO57" s="121" t="n"/>
      <c r="BP57" s="121" t="n"/>
      <c r="BQ57" s="121" t="n"/>
      <c r="BR57" s="121" t="n"/>
      <c r="BS57" s="121" t="n"/>
      <c r="BT57" s="121" t="n"/>
      <c r="BU57" s="121" t="n"/>
      <c r="BV57" s="121" t="n"/>
      <c r="BW57" s="121" t="n"/>
      <c r="BX57" s="121" t="n"/>
      <c r="BY57" s="121" t="n"/>
      <c r="BZ57" s="121" t="n"/>
      <c r="CA57" s="121" t="n"/>
      <c r="CB57" s="121" t="n"/>
      <c r="CC57" s="121" t="n"/>
      <c r="CD57" s="121" t="n"/>
      <c r="CE57" s="121" t="n"/>
      <c r="CF57" s="121" t="n"/>
      <c r="CG57" s="121" t="n"/>
      <c r="CH57" s="121" t="n"/>
      <c r="CI57" s="121" t="n"/>
      <c r="CJ57" s="121" t="n"/>
      <c r="CK57" s="121" t="n"/>
      <c r="CL57" s="121" t="n"/>
      <c r="CM57" s="121" t="n"/>
      <c r="CN57" s="121" t="n"/>
      <c r="CO57" s="121" t="n"/>
      <c r="CP57" s="121" t="n"/>
      <c r="CQ57" s="121" t="n"/>
      <c r="CR57" s="121" t="n"/>
      <c r="CS57" s="121" t="n"/>
      <c r="CT57" s="121" t="n"/>
      <c r="CU57" s="121" t="n"/>
      <c r="CV57" s="121" t="n"/>
      <c r="CW57" s="121" t="n"/>
      <c r="CX57" s="121" t="n"/>
      <c r="CY57" s="121" t="n"/>
      <c r="CZ57" s="121" t="n"/>
      <c r="DA57" s="121" t="n"/>
      <c r="DB57" s="121" t="n"/>
      <c r="DC57" s="121" t="n"/>
      <c r="DD57" s="121" t="n"/>
      <c r="DE57" s="121" t="n"/>
      <c r="DF57" s="121" t="n"/>
      <c r="DG57" s="121" t="n"/>
      <c r="DH57" s="121" t="n"/>
      <c r="DI57" s="121" t="n"/>
      <c r="DJ57" s="121" t="n"/>
      <c r="DK57" s="121" t="n"/>
      <c r="DL57" s="121" t="n"/>
      <c r="DM57" s="121" t="n"/>
      <c r="DN57" s="121" t="n"/>
      <c r="DO57" s="121" t="n"/>
      <c r="DP57" s="121" t="n"/>
      <c r="DQ57" s="121" t="n"/>
      <c r="DR57" s="121" t="n"/>
      <c r="DS57" s="121" t="n"/>
      <c r="DT57" s="121" t="n"/>
      <c r="DU57" s="121" t="n"/>
      <c r="DV57" s="121" t="n"/>
      <c r="DW57" s="121" t="n"/>
      <c r="DX57" s="121" t="n"/>
      <c r="DY57" s="121" t="n"/>
      <c r="DZ57" s="121" t="n"/>
      <c r="EA57" s="121" t="n"/>
      <c r="EB57" s="121" t="n"/>
      <c r="EC57" s="121" t="n"/>
      <c r="ED57" s="121" t="n"/>
      <c r="EE57" s="121" t="n"/>
      <c r="EF57" s="121" t="n"/>
      <c r="EG57" s="121" t="n"/>
      <c r="EH57" s="121" t="n"/>
      <c r="EI57" s="121" t="n"/>
      <c r="EJ57" s="121" t="n"/>
      <c r="EK57" s="121" t="n"/>
      <c r="EL57" s="121" t="n"/>
      <c r="EM57" s="121" t="n"/>
      <c r="EN57" s="121" t="n"/>
      <c r="EO57" s="121" t="n"/>
      <c r="EP57" s="121" t="n"/>
      <c r="EQ57" s="121" t="n"/>
      <c r="ER57" s="121" t="n"/>
      <c r="ES57" s="121" t="n"/>
      <c r="ET57" s="121" t="n"/>
      <c r="EU57" s="121" t="n"/>
      <c r="EV57" s="121" t="n"/>
      <c r="EW57" s="121" t="n"/>
      <c r="EX57" s="121" t="n"/>
      <c r="EY57" s="121" t="n"/>
      <c r="EZ57" s="121" t="n"/>
      <c r="FA57" s="121" t="n"/>
      <c r="FB57" s="121" t="n"/>
      <c r="FC57" s="121" t="n"/>
      <c r="FD57" s="121" t="n"/>
      <c r="FE57" s="121" t="n"/>
      <c r="FF57" s="121" t="n"/>
      <c r="FG57" s="121" t="n"/>
      <c r="FH57" s="121" t="n"/>
      <c r="FI57" s="121" t="n"/>
      <c r="FJ57" s="121" t="n"/>
      <c r="FK57" s="121" t="n"/>
      <c r="FL57" s="121" t="n"/>
      <c r="FM57" s="121" t="n"/>
      <c r="FN57" s="121" t="n"/>
      <c r="FO57" s="121" t="n"/>
      <c r="FP57" s="121" t="n"/>
      <c r="FQ57" s="121" t="n"/>
      <c r="FR57" s="121" t="n"/>
      <c r="FS57" s="121" t="n"/>
      <c r="FT57" s="121" t="n"/>
      <c r="FU57" s="121" t="n"/>
      <c r="FV57" s="121" t="n"/>
      <c r="FW57" s="121" t="n"/>
      <c r="FX57" s="121" t="n"/>
      <c r="FY57" s="121" t="n"/>
      <c r="FZ57" s="121" t="n"/>
      <c r="GA57" s="121" t="n"/>
      <c r="GB57" s="121" t="n"/>
      <c r="GC57" s="121" t="n"/>
      <c r="GD57" s="121" t="n"/>
      <c r="GE57" s="121" t="n"/>
      <c r="GF57" s="121" t="n"/>
      <c r="GG57" s="121" t="n"/>
      <c r="GH57" s="121" t="n"/>
      <c r="GI57" s="121" t="n"/>
      <c r="GJ57" s="121" t="n"/>
      <c r="GK57" s="121" t="n"/>
      <c r="GL57" s="121" t="n"/>
      <c r="GM57" s="121" t="n"/>
      <c r="GN57" s="121" t="n"/>
      <c r="GO57" s="121" t="n"/>
      <c r="GP57" s="121" t="n"/>
      <c r="GQ57" s="121" t="n"/>
      <c r="GR57" s="121" t="n"/>
      <c r="GS57" s="121" t="n"/>
      <c r="GT57" s="121" t="n"/>
      <c r="GU57" s="121" t="n"/>
      <c r="GV57" s="121" t="n"/>
      <c r="GW57" s="121" t="n"/>
      <c r="GX57" s="121" t="n"/>
      <c r="GY57" s="121" t="n"/>
      <c r="GZ57" s="121" t="n"/>
      <c r="HA57" s="121" t="n"/>
      <c r="HB57" s="121" t="n"/>
      <c r="HC57" s="121" t="n"/>
      <c r="HD57" s="121" t="n"/>
      <c r="HE57" s="121" t="n"/>
      <c r="HF57" s="121" t="n"/>
      <c r="HG57" s="121" t="n"/>
      <c r="HH57" s="121" t="n"/>
      <c r="HI57" s="121" t="n"/>
      <c r="HJ57" s="121" t="n"/>
      <c r="HK57" s="121" t="n"/>
      <c r="HL57" s="121" t="n"/>
      <c r="HM57" s="121" t="n"/>
      <c r="HN57" s="121" t="n"/>
      <c r="HO57" s="121" t="n"/>
      <c r="HP57" s="121" t="n"/>
      <c r="HQ57" s="121" t="n"/>
      <c r="HR57" s="121" t="n"/>
      <c r="HS57" s="121" t="n"/>
      <c r="HT57" s="121" t="n"/>
      <c r="HU57" s="121" t="n"/>
      <c r="HV57" s="121" t="n"/>
      <c r="HW57" s="121" t="n"/>
      <c r="HX57" s="121" t="n"/>
      <c r="HY57" s="121" t="n"/>
      <c r="HZ57" s="121" t="n"/>
      <c r="IA57" s="121" t="n"/>
      <c r="IB57" s="121" t="n"/>
      <c r="IC57" s="121" t="n"/>
      <c r="ID57" s="121" t="n"/>
      <c r="IE57" s="121" t="n"/>
      <c r="IF57" s="121" t="n"/>
      <c r="IG57" s="121" t="n"/>
      <c r="IH57" s="121" t="n"/>
      <c r="II57" s="121" t="n"/>
      <c r="IJ57" s="121" t="n"/>
      <c r="IK57" s="121" t="n"/>
      <c r="IL57" s="121" t="n"/>
      <c r="IM57" s="121" t="n"/>
      <c r="IN57" s="121" t="n"/>
      <c r="IO57" s="121" t="n"/>
      <c r="IP57" s="121" t="n"/>
      <c r="IQ57" s="121" t="n"/>
      <c r="IR57" s="121" t="n"/>
      <c r="IS57" s="121" t="n"/>
      <c r="IT57" s="121" t="n"/>
      <c r="IU57" s="121" t="n"/>
      <c r="IV57" s="121" t="n"/>
      <c r="IW57" s="121" t="n"/>
    </row>
    <row r="58">
      <c r="A58" s="154" t="n"/>
      <c r="H58" s="165" t="n"/>
    </row>
    <row r="59">
      <c r="A59" s="118" t="inlineStr">
        <is>
          <t>" A BELA VISTA RESERVA-SE NO DIREITO DE NÃO ACEITAR TÍTULOS NEGOCIADOS COM TERCEIROS"</t>
        </is>
      </c>
      <c r="B59" s="119" t="n"/>
      <c r="C59" s="166" t="n"/>
      <c r="D59" s="166" t="n"/>
      <c r="E59" s="166" t="n"/>
      <c r="F59" s="167" t="n"/>
      <c r="G59" s="167" t="n"/>
      <c r="H59" s="50" t="n"/>
    </row>
    <row r="60" ht="15.75" customHeight="1">
      <c r="A60" s="168" t="inlineStr">
        <is>
          <t xml:space="preserve">APROVAÇÃO: </t>
        </is>
      </c>
      <c r="E60" t="inlineStr">
        <is>
          <t>DATA:</t>
        </is>
      </c>
    </row>
    <row r="61" ht="42.75" customHeight="1">
      <c r="A61" s="56" t="n"/>
      <c r="B61" s="57" t="n"/>
      <c r="C61" s="58" t="n"/>
      <c r="D61" s="59" t="n"/>
      <c r="E61" s="60" t="n"/>
      <c r="F61" s="61" t="n"/>
      <c r="G61" s="61" t="n"/>
      <c r="H61" s="62" t="n"/>
    </row>
  </sheetData>
  <mergeCells count="53">
    <mergeCell ref="D35:H35"/>
    <mergeCell ref="B7:C7"/>
    <mergeCell ref="A59:H59"/>
    <mergeCell ref="D10:H10"/>
    <mergeCell ref="D19:H19"/>
    <mergeCell ref="G5:H6"/>
    <mergeCell ref="A49:E51"/>
    <mergeCell ref="D45:E45"/>
    <mergeCell ref="D21:H21"/>
    <mergeCell ref="A25:H25"/>
    <mergeCell ref="D11:H11"/>
    <mergeCell ref="D32:H32"/>
    <mergeCell ref="F50:G50"/>
    <mergeCell ref="D48:E48"/>
    <mergeCell ref="A55:B55"/>
    <mergeCell ref="D16:H16"/>
    <mergeCell ref="D28:H28"/>
    <mergeCell ref="D18:H18"/>
    <mergeCell ref="A8:H8"/>
    <mergeCell ref="A17:H17"/>
    <mergeCell ref="D30:H30"/>
    <mergeCell ref="D29:H29"/>
    <mergeCell ref="F49:G49"/>
    <mergeCell ref="D23:H23"/>
    <mergeCell ref="A31:H31"/>
    <mergeCell ref="A9:H9"/>
    <mergeCell ref="D20:H20"/>
    <mergeCell ref="D34:H34"/>
    <mergeCell ref="D46:E46"/>
    <mergeCell ref="D40:E40"/>
    <mergeCell ref="D22:H22"/>
    <mergeCell ref="D36:H36"/>
    <mergeCell ref="F51:G51"/>
    <mergeCell ref="G1:H2"/>
    <mergeCell ref="D13:H13"/>
    <mergeCell ref="D27:H27"/>
    <mergeCell ref="D41:E41"/>
    <mergeCell ref="D47:E47"/>
    <mergeCell ref="A57:H57"/>
    <mergeCell ref="D43:E43"/>
    <mergeCell ref="D37:E37"/>
    <mergeCell ref="D39:E39"/>
    <mergeCell ref="D12:H12"/>
    <mergeCell ref="D15:H15"/>
    <mergeCell ref="D42:E42"/>
    <mergeCell ref="D24:H24"/>
    <mergeCell ref="D33:H33"/>
    <mergeCell ref="D38:E38"/>
    <mergeCell ref="D14:H14"/>
    <mergeCell ref="C53:D53"/>
    <mergeCell ref="D44:E44"/>
    <mergeCell ref="D26:H26"/>
    <mergeCell ref="G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2026-05-21T22:20:28Z</dcterms:created>
  <dcterms:modified xsi:type="dcterms:W3CDTF">2026-06-19T09:56:38Z</dcterms:modified>
  <cp:lastModifiedBy>Felipe Barcelos</cp:lastModifiedBy>
</cp:coreProperties>
</file>