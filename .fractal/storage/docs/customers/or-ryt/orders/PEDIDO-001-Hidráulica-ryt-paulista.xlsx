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600" windowWidth="76800" windowHeight="41020" tabRatio="600" firstSheet="0" activeTab="0" autoFilterDateGrouping="1"/>
  </bookViews>
  <sheets>
    <sheet xmlns:r="http://schemas.openxmlformats.org/officeDocument/2006/relationships" name="Baume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3">
    <numFmt numFmtId="164" formatCode="_(* #,##0.00_);_(* \(#,##0.00\);_(* \-??_);_(@_)"/>
    <numFmt numFmtId="165" formatCode="m/d/yy"/>
    <numFmt numFmtId="166" formatCode="&quot;R$&quot;\ #,##0.00"/>
  </numFmts>
  <fonts count="16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Arial"/>
      <family val="2"/>
      <sz val="10"/>
    </font>
    <font>
      <name val="Tahoma"/>
      <family val="2"/>
      <b val="1"/>
      <sz val="14"/>
    </font>
    <font>
      <name val="Tahoma"/>
      <family val="2"/>
      <b val="1"/>
      <sz val="10"/>
    </font>
    <font>
      <name val="Tahoma"/>
      <family val="2"/>
      <b val="1"/>
      <color rgb="FFFF0000"/>
      <sz val="10"/>
    </font>
    <font>
      <name val="Tahoma"/>
      <family val="2"/>
      <b val="1"/>
      <sz val="16"/>
    </font>
    <font>
      <name val="Arial"/>
      <family val="2"/>
      <color rgb="FF33CCCC"/>
      <sz val="10"/>
    </font>
    <font>
      <name val="Tahoma"/>
      <family val="2"/>
      <b val="1"/>
      <color rgb="FF000000"/>
      <sz val="9"/>
    </font>
    <font>
      <name val="Tahoma"/>
      <family val="2"/>
      <b val="1"/>
      <color rgb="FF000000"/>
      <sz val="10"/>
    </font>
    <font>
      <name val="Tahoma"/>
      <family val="2"/>
      <b val="1"/>
      <color rgb="FF000000"/>
      <sz val="11"/>
    </font>
    <font>
      <name val="Tahoma"/>
      <family val="2"/>
      <b val="1"/>
      <sz val="11"/>
    </font>
    <font>
      <name val="Tahoma"/>
      <family val="2"/>
      <sz val="11"/>
    </font>
    <font>
      <name val="Tahoma"/>
      <family val="2"/>
      <color rgb="FFFF0000"/>
      <sz val="10"/>
    </font>
    <font>
      <name val="Arial"/>
      <family val="2"/>
      <color theme="10"/>
      <sz val="10"/>
      <u val="single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6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</borders>
  <cellStyleXfs count="8">
    <xf numFmtId="0" fontId="0" fillId="0" borderId="51"/>
    <xf numFmtId="43" fontId="3" fillId="0" borderId="51"/>
    <xf numFmtId="41" fontId="3" fillId="0" borderId="51"/>
    <xf numFmtId="44" fontId="3" fillId="0" borderId="51"/>
    <xf numFmtId="42" fontId="3" fillId="0" borderId="51"/>
    <xf numFmtId="9" fontId="3" fillId="0" borderId="51"/>
    <xf numFmtId="0" fontId="8" fillId="0" borderId="51"/>
    <xf numFmtId="0" fontId="15" fillId="0" borderId="51"/>
  </cellStyleXfs>
  <cellXfs count="146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2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2" fillId="2" borderId="5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4" fillId="2" borderId="6" applyAlignment="1" pivotButton="0" quotePrefix="0" xfId="0">
      <alignment vertical="center"/>
    </xf>
    <xf numFmtId="0" fontId="2" fillId="2" borderId="9" applyAlignment="1" pivotButton="0" quotePrefix="0" xfId="0">
      <alignment vertical="center"/>
    </xf>
    <xf numFmtId="0" fontId="2" fillId="2" borderId="10" applyAlignment="1" pivotButton="0" quotePrefix="0" xfId="0">
      <alignment vertical="center"/>
    </xf>
    <xf numFmtId="0" fontId="4" fillId="2" borderId="11" applyAlignment="1" pivotButton="0" quotePrefix="0" xfId="0">
      <alignment vertical="center"/>
    </xf>
    <xf numFmtId="0" fontId="5" fillId="0" borderId="12" applyAlignment="1" pivotButton="0" quotePrefix="0" xfId="0">
      <alignment horizontal="right" vertical="center"/>
    </xf>
    <xf numFmtId="49" fontId="5" fillId="0" borderId="13" applyAlignment="1" pivotButton="0" quotePrefix="0" xfId="0">
      <alignment horizontal="right" vertical="center"/>
    </xf>
    <xf numFmtId="49" fontId="6" fillId="0" borderId="13" applyAlignment="1" pivotButton="0" quotePrefix="0" xfId="0">
      <alignment vertical="center"/>
    </xf>
    <xf numFmtId="0" fontId="5" fillId="0" borderId="14" applyAlignment="1" pivotButton="0" quotePrefix="0" xfId="0">
      <alignment horizontal="left" vertical="center"/>
    </xf>
    <xf numFmtId="0" fontId="5" fillId="0" borderId="10" applyAlignment="1" pivotButton="0" quotePrefix="0" xfId="0">
      <alignment horizontal="right" vertical="center"/>
    </xf>
    <xf numFmtId="0" fontId="5" fillId="2" borderId="17" applyAlignment="1" pivotButton="0" quotePrefix="0" xfId="0">
      <alignment horizontal="left" vertical="center"/>
    </xf>
    <xf numFmtId="0" fontId="5" fillId="2" borderId="18" applyAlignment="1" pivotButton="0" quotePrefix="0" xfId="0">
      <alignment horizontal="left" vertical="center"/>
    </xf>
    <xf numFmtId="0" fontId="2" fillId="2" borderId="19" applyAlignment="1" pivotButton="0" quotePrefix="0" xfId="0">
      <alignment horizontal="left" vertical="center"/>
    </xf>
    <xf numFmtId="0" fontId="5" fillId="2" borderId="21" applyAlignment="1" pivotButton="0" quotePrefix="0" xfId="0">
      <alignment horizontal="left" vertical="center"/>
    </xf>
    <xf numFmtId="0" fontId="5" fillId="2" borderId="22" applyAlignment="1" pivotButton="0" quotePrefix="0" xfId="0">
      <alignment horizontal="left" vertical="center"/>
    </xf>
    <xf numFmtId="0" fontId="2" fillId="2" borderId="23" applyAlignment="1" pivotButton="0" quotePrefix="0" xfId="0">
      <alignment horizontal="left" vertical="center"/>
    </xf>
    <xf numFmtId="0" fontId="5" fillId="2" borderId="26" applyAlignment="1" pivotButton="0" quotePrefix="0" xfId="0">
      <alignment horizontal="left" vertical="center"/>
    </xf>
    <xf numFmtId="0" fontId="5" fillId="2" borderId="27" applyAlignment="1" pivotButton="0" quotePrefix="0" xfId="0">
      <alignment horizontal="left" vertical="center"/>
    </xf>
    <xf numFmtId="0" fontId="2" fillId="2" borderId="28" applyAlignment="1" pivotButton="0" quotePrefix="0" xfId="0">
      <alignment horizontal="left" vertical="center"/>
    </xf>
    <xf numFmtId="0" fontId="5" fillId="2" borderId="29" applyAlignment="1" pivotButton="0" quotePrefix="0" xfId="0">
      <alignment horizontal="left" vertical="center"/>
    </xf>
    <xf numFmtId="0" fontId="5" fillId="2" borderId="30" applyAlignment="1" pivotButton="0" quotePrefix="0" xfId="0">
      <alignment horizontal="left" vertical="center"/>
    </xf>
    <xf numFmtId="0" fontId="2" fillId="2" borderId="31" applyAlignment="1" pivotButton="0" quotePrefix="0" xfId="0">
      <alignment horizontal="left" vertical="center"/>
    </xf>
    <xf numFmtId="0" fontId="5" fillId="2" borderId="33" applyAlignment="1" pivotButton="0" quotePrefix="0" xfId="0">
      <alignment horizontal="left" vertical="center"/>
    </xf>
    <xf numFmtId="0" fontId="5" fillId="2" borderId="34" applyAlignment="1" pivotButton="0" quotePrefix="0" xfId="0">
      <alignment horizontal="left" vertical="center"/>
    </xf>
    <xf numFmtId="0" fontId="2" fillId="2" borderId="35" applyAlignment="1" pivotButton="0" quotePrefix="0" xfId="0">
      <alignment horizontal="left" vertical="center"/>
    </xf>
    <xf numFmtId="0" fontId="5" fillId="2" borderId="37" applyAlignment="1" pivotButton="0" quotePrefix="0" xfId="0">
      <alignment horizontal="left" vertical="center"/>
    </xf>
    <xf numFmtId="0" fontId="5" fillId="2" borderId="38" applyAlignment="1" pivotButton="0" quotePrefix="0" xfId="0">
      <alignment horizontal="left" vertical="center"/>
    </xf>
    <xf numFmtId="0" fontId="2" fillId="2" borderId="39" applyAlignment="1" pivotButton="0" quotePrefix="0" xfId="0">
      <alignment horizontal="left" vertical="center"/>
    </xf>
    <xf numFmtId="0" fontId="5" fillId="0" borderId="47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left" vertical="center"/>
    </xf>
    <xf numFmtId="164" fontId="2" fillId="0" borderId="14" applyAlignment="1" pivotButton="0" quotePrefix="0" xfId="0">
      <alignment horizontal="center" vertical="center"/>
    </xf>
    <xf numFmtId="2" fontId="5" fillId="2" borderId="45" applyAlignment="1" pivotButton="0" quotePrefix="0" xfId="0">
      <alignment horizontal="center" vertical="center"/>
    </xf>
    <xf numFmtId="0" fontId="10" fillId="0" borderId="42" applyAlignment="1" pivotButton="0" quotePrefix="0" xfId="0">
      <alignment vertical="center"/>
    </xf>
    <xf numFmtId="0" fontId="2" fillId="2" borderId="44" applyAlignment="1" pivotButton="0" quotePrefix="0" xfId="0">
      <alignment vertical="center"/>
    </xf>
    <xf numFmtId="0" fontId="2" fillId="2" borderId="43" applyAlignment="1" pivotButton="0" quotePrefix="0" xfId="0">
      <alignment vertical="center"/>
    </xf>
    <xf numFmtId="164" fontId="5" fillId="2" borderId="14" applyAlignment="1" pivotButton="0" quotePrefix="0" xfId="0">
      <alignment vertical="center"/>
    </xf>
    <xf numFmtId="165" fontId="6" fillId="2" borderId="45" applyAlignment="1" pivotButton="0" quotePrefix="0" xfId="0">
      <alignment horizontal="center" vertical="center"/>
    </xf>
    <xf numFmtId="0" fontId="5" fillId="2" borderId="5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center" vertical="center"/>
    </xf>
    <xf numFmtId="2" fontId="2" fillId="2" borderId="48" applyAlignment="1" pivotButton="0" quotePrefix="0" xfId="0">
      <alignment horizontal="center" vertical="center"/>
    </xf>
    <xf numFmtId="0" fontId="11" fillId="0" borderId="5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164" fontId="13" fillId="2" borderId="0" applyAlignment="1" pivotButton="0" quotePrefix="0" xfId="0">
      <alignment horizontal="center" vertical="center"/>
    </xf>
    <xf numFmtId="2" fontId="13" fillId="2" borderId="48" applyAlignment="1" pivotButton="0" quotePrefix="0" xfId="0">
      <alignment horizontal="center" vertical="center"/>
    </xf>
    <xf numFmtId="0" fontId="5" fillId="2" borderId="12" applyAlignment="1" pivotButton="0" quotePrefix="0" xfId="0">
      <alignment horizontal="left" vertical="center"/>
    </xf>
    <xf numFmtId="0" fontId="5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left" vertical="center"/>
    </xf>
    <xf numFmtId="0" fontId="14" fillId="2" borderId="49" applyAlignment="1" pivotButton="0" quotePrefix="0" xfId="0">
      <alignment horizontal="left" vertical="center"/>
    </xf>
    <xf numFmtId="164" fontId="5" fillId="2" borderId="13" applyAlignment="1" pivotButton="0" quotePrefix="0" xfId="0">
      <alignment horizontal="left" vertical="center"/>
    </xf>
    <xf numFmtId="164" fontId="5" fillId="2" borderId="13" applyAlignment="1" pivotButton="0" quotePrefix="0" xfId="0">
      <alignment horizontal="center" vertical="center"/>
    </xf>
    <xf numFmtId="2" fontId="2" fillId="2" borderId="50" applyAlignment="1" pivotButton="0" quotePrefix="0" xfId="0">
      <alignment horizontal="center" vertical="center"/>
    </xf>
    <xf numFmtId="166" fontId="10" fillId="0" borderId="46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164" fontId="2" fillId="2" borderId="0" applyAlignment="1" pivotButton="0" quotePrefix="0" xfId="0">
      <alignment horizontal="center" vertical="center" wrapText="1"/>
    </xf>
    <xf numFmtId="2" fontId="2" fillId="2" borderId="48" applyAlignment="1" pivotButton="0" quotePrefix="0" xfId="0">
      <alignment horizontal="center" vertical="center" wrapText="1"/>
    </xf>
    <xf numFmtId="164" fontId="5" fillId="0" borderId="41" applyAlignment="1" pivotButton="0" quotePrefix="0" xfId="0">
      <alignment horizontal="left" vertical="center" wrapText="1"/>
    </xf>
    <xf numFmtId="164" fontId="5" fillId="0" borderId="41" applyAlignment="1" pivotButton="0" quotePrefix="0" xfId="0">
      <alignment horizontal="left" vertical="center"/>
    </xf>
    <xf numFmtId="0" fontId="5" fillId="0" borderId="41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0" fontId="4" fillId="2" borderId="4" applyAlignment="1" pivotButton="0" quotePrefix="0" xfId="0">
      <alignment horizontal="left" vertical="center"/>
    </xf>
    <xf numFmtId="0" fontId="4" fillId="2" borderId="7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3" borderId="15" applyAlignment="1" pivotButton="0" quotePrefix="0" xfId="0">
      <alignment horizontal="center" vertical="center"/>
    </xf>
    <xf numFmtId="49" fontId="6" fillId="0" borderId="13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3" fillId="0" borderId="20" pivotButton="0" quotePrefix="0" xfId="0"/>
    <xf numFmtId="0" fontId="3" fillId="0" borderId="24" pivotButton="0" quotePrefix="0" xfId="0"/>
    <xf numFmtId="0" fontId="3" fillId="0" borderId="25" pivotButton="0" quotePrefix="0" xfId="0"/>
    <xf numFmtId="0" fontId="3" fillId="0" borderId="0" pivotButton="0" quotePrefix="0" xfId="0"/>
    <xf numFmtId="0" fontId="8" fillId="0" borderId="25" pivotButton="0" quotePrefix="0" xfId="6"/>
    <xf numFmtId="0" fontId="3" fillId="0" borderId="32" pivotButton="0" quotePrefix="0" xfId="0"/>
    <xf numFmtId="0" fontId="1" fillId="0" borderId="20" pivotButton="0" quotePrefix="0" xfId="0"/>
    <xf numFmtId="0" fontId="1" fillId="0" borderId="24" pivotButton="0" quotePrefix="0" xfId="0"/>
    <xf numFmtId="3" fontId="1" fillId="0" borderId="25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1" fillId="0" borderId="25" pivotButton="0" quotePrefix="0" xfId="0"/>
    <xf numFmtId="0" fontId="15" fillId="0" borderId="25" pivotButton="0" quotePrefix="0" xfId="7"/>
    <xf numFmtId="0" fontId="1" fillId="0" borderId="32" pivotButton="0" quotePrefix="0" xfId="0"/>
    <xf numFmtId="0" fontId="2" fillId="2" borderId="24" applyAlignment="1" pivotButton="0" quotePrefix="0" xfId="0">
      <alignment horizontal="left" vertical="center"/>
    </xf>
    <xf numFmtId="0" fontId="2" fillId="2" borderId="25" applyAlignment="1" pivotButton="0" quotePrefix="0" xfId="0">
      <alignment horizontal="left" vertical="center" wrapText="1"/>
    </xf>
    <xf numFmtId="0" fontId="2" fillId="2" borderId="25" applyAlignment="1" pivotButton="0" quotePrefix="0" xfId="0">
      <alignment horizontal="left" vertical="center"/>
    </xf>
    <xf numFmtId="3" fontId="2" fillId="2" borderId="25" applyAlignment="1" pivotButton="0" quotePrefix="0" xfId="0">
      <alignment horizontal="left" vertical="center"/>
    </xf>
    <xf numFmtId="0" fontId="2" fillId="2" borderId="36" applyAlignment="1" pivotButton="0" quotePrefix="0" xfId="0">
      <alignment horizontal="left" vertical="center"/>
    </xf>
    <xf numFmtId="164" fontId="2" fillId="2" borderId="40" applyAlignment="1" pivotButton="0" quotePrefix="0" xfId="0">
      <alignment horizontal="left" vertical="center"/>
    </xf>
    <xf numFmtId="1" fontId="5" fillId="0" borderId="41" applyAlignment="1" pivotButton="0" quotePrefix="0" xfId="0">
      <alignment horizontal="left" vertical="center"/>
    </xf>
    <xf numFmtId="0" fontId="5" fillId="0" borderId="43" applyAlignment="1" pivotButton="0" quotePrefix="0" xfId="0">
      <alignment horizontal="center" vertical="center"/>
    </xf>
    <xf numFmtId="0" fontId="10" fillId="0" borderId="47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8" applyAlignment="1" pivotButton="0" quotePrefix="0" xfId="0">
      <alignment horizontal="center" vertical="center"/>
    </xf>
    <xf numFmtId="166" fontId="10" fillId="0" borderId="58" applyAlignment="1" pivotButton="0" quotePrefix="0" xfId="0">
      <alignment horizontal="center" vertical="center"/>
    </xf>
    <xf numFmtId="49" fontId="9" fillId="0" borderId="57" applyAlignment="1" pivotButton="0" quotePrefix="0" xfId="0">
      <alignment horizontal="left" vertical="center"/>
    </xf>
    <xf numFmtId="1" fontId="10" fillId="0" borderId="57" applyAlignment="1" pivotButton="0" quotePrefix="0" xfId="0">
      <alignment horizontal="left" vertical="center"/>
    </xf>
    <xf numFmtId="3" fontId="10" fillId="0" borderId="57" applyAlignment="1" pivotButton="0" quotePrefix="0" xfId="0">
      <alignment horizontal="left" vertical="center"/>
    </xf>
    <xf numFmtId="49" fontId="9" fillId="0" borderId="57" applyAlignment="1" pivotButton="0" quotePrefix="0" xfId="0">
      <alignment horizontal="left" vertical="center" wrapText="1"/>
    </xf>
    <xf numFmtId="166" fontId="10" fillId="0" borderId="57" applyAlignment="1" pivotButton="0" quotePrefix="0" xfId="0">
      <alignment horizontal="left" vertical="center"/>
    </xf>
    <xf numFmtId="9" fontId="10" fillId="0" borderId="57" applyAlignment="1" pivotButton="0" quotePrefix="0" xfId="0">
      <alignment horizontal="left" vertical="center"/>
    </xf>
    <xf numFmtId="166" fontId="10" fillId="0" borderId="57" applyAlignment="1" pivotButton="0" quotePrefix="0" xfId="0">
      <alignment horizontal="center" vertical="center"/>
    </xf>
    <xf numFmtId="0" fontId="5" fillId="2" borderId="52" applyAlignment="1" pivotButton="0" quotePrefix="0" xfId="0">
      <alignment horizontal="left" vertical="center"/>
    </xf>
    <xf numFmtId="0" fontId="5" fillId="2" borderId="51" applyAlignment="1" pivotButton="0" quotePrefix="0" xfId="0">
      <alignment horizontal="left" vertical="center"/>
    </xf>
    <xf numFmtId="0" fontId="5" fillId="2" borderId="52" applyAlignment="1" pivotButton="0" quotePrefix="0" xfId="0">
      <alignment vertical="center"/>
    </xf>
    <xf numFmtId="0" fontId="5" fillId="2" borderId="51" applyAlignment="1" pivotButton="0" quotePrefix="0" xfId="0">
      <alignment vertical="center"/>
    </xf>
    <xf numFmtId="0" fontId="0" fillId="0" borderId="1" pivotButton="0" quotePrefix="0" xfId="0"/>
    <xf numFmtId="0" fontId="0" fillId="0" borderId="59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55" pivotButton="0" quotePrefix="0" xfId="0"/>
    <xf numFmtId="0" fontId="0" fillId="0" borderId="13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18" pivotButton="0" quotePrefix="0" xfId="0"/>
    <xf numFmtId="0" fontId="0" fillId="0" borderId="22" pivotButton="0" quotePrefix="0" xfId="0"/>
    <xf numFmtId="0" fontId="3" fillId="0" borderId="51" pivotButton="0" quotePrefix="0" xfId="0"/>
    <xf numFmtId="0" fontId="0" fillId="0" borderId="30" pivotButton="0" quotePrefix="0" xfId="0"/>
    <xf numFmtId="0" fontId="0" fillId="0" borderId="34" pivotButton="0" quotePrefix="0" xfId="0"/>
    <xf numFmtId="0" fontId="0" fillId="0" borderId="27" pivotButton="0" quotePrefix="0" xfId="0"/>
    <xf numFmtId="0" fontId="0" fillId="0" borderId="63" pivotButton="0" quotePrefix="0" xfId="0"/>
    <xf numFmtId="0" fontId="0" fillId="0" borderId="66" pivotButton="0" quotePrefix="0" xfId="0"/>
    <xf numFmtId="0" fontId="5" fillId="0" borderId="60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2" pivotButton="0" quotePrefix="0" xfId="0"/>
    <xf numFmtId="0" fontId="0" fillId="0" borderId="14" pivotButton="0" quotePrefix="0" xfId="0"/>
    <xf numFmtId="0" fontId="0" fillId="0" borderId="54" pivotButton="0" quotePrefix="0" xfId="0"/>
    <xf numFmtId="0" fontId="0" fillId="0" borderId="56" pivotButton="0" quotePrefix="0" xfId="0"/>
    <xf numFmtId="0" fontId="5" fillId="0" borderId="51" applyAlignment="1" pivotButton="0" quotePrefix="0" xfId="0">
      <alignment horizontal="left" vertical="center"/>
    </xf>
    <xf numFmtId="0" fontId="2" fillId="2" borderId="52" applyAlignment="1" pivotButton="0" quotePrefix="0" xfId="0">
      <alignment horizontal="center" vertical="center"/>
    </xf>
  </cellXfs>
  <cellStyles count="8">
    <cellStyle name="Normal" xfId="0" builtinId="0"/>
    <cellStyle name="Comma" xfId="1"/>
    <cellStyle name="Comma [0]" xfId="2"/>
    <cellStyle name="Currency" xfId="3"/>
    <cellStyle name="Currency [0]" xfId="4"/>
    <cellStyle name="Percent" xfId="5"/>
    <cellStyle name="*unknown*" xfId="6"/>
    <cellStyle name="Hiperlink" xfId="7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53"/>
  <sheetViews>
    <sheetView tabSelected="1" zoomScale="200" zoomScaleNormal="200" workbookViewId="0">
      <selection activeCell="E45" sqref="E45"/>
    </sheetView>
  </sheetViews>
  <sheetFormatPr baseColWidth="10" defaultColWidth="0" defaultRowHeight="13"/>
  <cols>
    <col width="15.5" customWidth="1" style="108" min="1" max="1"/>
    <col width="7.83203125" customWidth="1" style="108" min="2" max="2"/>
    <col width="13.1640625" customWidth="1" style="108" min="3" max="3"/>
    <col width="34" customWidth="1" style="108" min="4" max="4"/>
    <col width="16.5" customWidth="1" style="108" min="5" max="5"/>
    <col width="11.5" customWidth="1" style="3" min="6" max="6"/>
    <col width="10" customWidth="1" style="3" min="7" max="7"/>
    <col width="18.83203125" customWidth="1" style="3" min="8" max="8"/>
    <col hidden="1" width="11" customWidth="1" style="4" min="9" max="257"/>
    <col hidden="1" width="11" customWidth="1" min="258" max="16384"/>
  </cols>
  <sheetData>
    <row r="1" ht="12.75" customHeight="1">
      <c r="A1" s="81" t="n"/>
      <c r="B1" s="5" t="n"/>
      <c r="C1" s="5" t="n"/>
      <c r="D1" s="71" t="inlineStr">
        <is>
          <t>PEDIDO DE COMPRA</t>
        </is>
      </c>
      <c r="E1" s="122" t="n"/>
      <c r="F1" s="6" t="n"/>
      <c r="G1" s="72" t="n"/>
      <c r="H1" s="123" t="n"/>
    </row>
    <row r="2" ht="12.75" customHeight="1">
      <c r="A2" s="7" t="n"/>
      <c r="B2" s="8" t="n"/>
      <c r="C2" s="8" t="n"/>
      <c r="D2" s="124" t="n"/>
      <c r="F2" s="9" t="n"/>
      <c r="G2" s="124" t="n"/>
    </row>
    <row r="3" ht="12.75" customHeight="1">
      <c r="A3" s="7" t="n"/>
      <c r="B3" s="8" t="n"/>
      <c r="C3" s="8" t="n"/>
      <c r="D3" s="124" t="n"/>
      <c r="F3" s="9" t="n"/>
      <c r="G3" s="73" t="n"/>
    </row>
    <row r="4" ht="12.75" customHeight="1">
      <c r="A4" s="7" t="n"/>
      <c r="B4" s="8" t="n"/>
      <c r="C4" s="8" t="n"/>
      <c r="D4" s="124" t="n"/>
      <c r="F4" s="9" t="n"/>
      <c r="G4" s="124" t="n"/>
    </row>
    <row r="5" ht="12.75" customHeight="1">
      <c r="A5" s="7" t="n"/>
      <c r="B5" s="8" t="n"/>
      <c r="C5" s="8" t="n"/>
      <c r="D5" s="124" t="n"/>
      <c r="F5" s="9" t="n"/>
      <c r="G5" s="74" t="n"/>
    </row>
    <row r="6" ht="12.75" customHeight="1">
      <c r="A6" s="10" t="n"/>
      <c r="B6" s="11" t="n"/>
      <c r="C6" s="11" t="n"/>
      <c r="D6" s="124" t="n"/>
      <c r="F6" s="12" t="n"/>
      <c r="G6" s="125" t="n"/>
      <c r="H6" s="126" t="n"/>
    </row>
    <row r="7" ht="27.75" customHeight="1" thickBot="1">
      <c r="A7" s="13" t="inlineStr">
        <is>
          <t>PEDIDO Nº:</t>
        </is>
      </c>
      <c r="B7" s="76" t="inlineStr">
        <is>
          <t>001</t>
        </is>
      </c>
      <c r="C7" s="127" t="n"/>
      <c r="D7" s="14" t="inlineStr">
        <is>
          <t>EMPREENDIMENTO:</t>
        </is>
      </c>
      <c r="E7" s="15" t="inlineStr">
        <is>
          <t>RYT PAULISTA</t>
        </is>
      </c>
      <c r="F7" s="16" t="n"/>
      <c r="G7" s="17" t="inlineStr">
        <is>
          <t>DATA:</t>
        </is>
      </c>
      <c r="H7" s="70" t="inlineStr">
        <is>
          <t>28/05/2026</t>
        </is>
      </c>
    </row>
    <row r="8" ht="22.5" customHeight="1" thickBot="1">
      <c r="A8" s="75" t="inlineStr">
        <is>
          <t>PEDIDO DE COMPRA</t>
        </is>
      </c>
      <c r="B8" s="122" t="n"/>
      <c r="C8" s="122" t="n"/>
      <c r="D8" s="122" t="n"/>
      <c r="E8" s="122" t="n"/>
      <c r="F8" s="122" t="n"/>
      <c r="G8" s="122" t="n"/>
      <c r="H8" s="122" t="n"/>
    </row>
    <row r="9" ht="18" customHeight="1">
      <c r="A9" s="77" t="inlineStr">
        <is>
          <t>DADOS DA EMPRESA CONTRATADA DIRETAMENTE PELA BELA VISTA</t>
        </is>
      </c>
      <c r="B9" s="128" t="n"/>
      <c r="C9" s="128" t="n"/>
      <c r="D9" s="128" t="n"/>
      <c r="E9" s="128" t="n"/>
      <c r="F9" s="128" t="n"/>
      <c r="G9" s="128" t="n"/>
      <c r="H9" s="128" t="n"/>
    </row>
    <row r="10" ht="17.25" customHeight="1">
      <c r="A10" s="18" t="inlineStr">
        <is>
          <t>Razão Social:</t>
        </is>
      </c>
      <c r="B10" s="19" t="n"/>
      <c r="C10" s="20" t="n"/>
      <c r="D10" s="78" t="inlineStr">
        <is>
          <t>DEMA INSTALAÇÕES ELÉTRICAS, HIDRÁULICAS E MANUTENÇÕES LTDA</t>
        </is>
      </c>
      <c r="E10" s="129" t="n"/>
      <c r="F10" s="129" t="n"/>
      <c r="G10" s="129" t="n"/>
      <c r="H10" s="129" t="n"/>
    </row>
    <row r="11">
      <c r="A11" s="21" t="inlineStr">
        <is>
          <t>C.N.P.J:</t>
        </is>
      </c>
      <c r="B11" s="22" t="n"/>
      <c r="C11" s="23" t="n"/>
      <c r="D11" s="79" t="inlineStr">
        <is>
          <t>07.944.979/0001-03</t>
        </is>
      </c>
      <c r="E11" s="130" t="n"/>
      <c r="F11" s="130" t="n"/>
      <c r="G11" s="130" t="n"/>
      <c r="H11" s="130" t="n"/>
    </row>
    <row r="12">
      <c r="A12" s="21" t="inlineStr">
        <is>
          <t>I.E:</t>
        </is>
      </c>
      <c r="B12" s="22" t="n"/>
      <c r="C12" s="23" t="n"/>
      <c r="D12" s="80" t="inlineStr">
        <is>
          <t>126.622.481.114</t>
        </is>
      </c>
      <c r="E12" s="131" t="n"/>
      <c r="F12" s="131" t="n"/>
      <c r="G12" s="131" t="n"/>
      <c r="H12" s="131" t="n"/>
    </row>
    <row r="13">
      <c r="A13" s="21" t="inlineStr">
        <is>
          <t>Endereço:</t>
        </is>
      </c>
      <c r="B13" s="22" t="n"/>
      <c r="C13" s="23" t="n"/>
      <c r="D13" s="132" t="inlineStr">
        <is>
          <t>Av. Brigadeiro Luís Antônio, 3097, Jardim Paulista, São Paulo - SP</t>
        </is>
      </c>
    </row>
    <row r="14">
      <c r="A14" s="21" t="inlineStr">
        <is>
          <t>Telefone:</t>
        </is>
      </c>
      <c r="B14" s="22" t="n"/>
      <c r="C14" s="23" t="n"/>
      <c r="D14" s="80" t="inlineStr">
        <is>
          <t>(11) 94794-1317</t>
        </is>
      </c>
      <c r="E14" s="131" t="n"/>
      <c r="F14" s="131" t="n"/>
      <c r="G14" s="131" t="n"/>
      <c r="H14" s="131" t="n"/>
    </row>
    <row r="15">
      <c r="A15" s="24" t="inlineStr">
        <is>
          <t>Email:</t>
        </is>
      </c>
      <c r="B15" s="25" t="n"/>
      <c r="C15" s="26" t="n"/>
      <c r="D15" s="82" t="inlineStr">
        <is>
          <t>vendas@demainstalacoes.com.br</t>
        </is>
      </c>
      <c r="E15" s="131" t="n"/>
      <c r="F15" s="131" t="n"/>
      <c r="G15" s="131" t="n"/>
      <c r="H15" s="131" t="n"/>
    </row>
    <row r="16">
      <c r="A16" s="27" t="inlineStr">
        <is>
          <t>Nome do contato:</t>
        </is>
      </c>
      <c r="B16" s="28" t="n"/>
      <c r="C16" s="29" t="n"/>
      <c r="D16" s="83" t="inlineStr">
        <is>
          <t>Rebeca Meneses</t>
        </is>
      </c>
      <c r="E16" s="133" t="n"/>
      <c r="F16" s="133" t="n"/>
      <c r="G16" s="133" t="n"/>
      <c r="H16" s="133" t="n"/>
    </row>
    <row r="17" ht="18" customHeight="1">
      <c r="A17" s="77" t="inlineStr">
        <is>
          <t>DADOS DO FORNECEDOR TERCEIRO</t>
        </is>
      </c>
      <c r="B17" s="128" t="n"/>
      <c r="C17" s="128" t="n"/>
      <c r="D17" s="128" t="n"/>
      <c r="E17" s="128" t="n"/>
      <c r="F17" s="128" t="n"/>
      <c r="G17" s="128" t="n"/>
      <c r="H17" s="128" t="n"/>
    </row>
    <row r="18">
      <c r="A18" s="18" t="inlineStr">
        <is>
          <t>Razão Social:</t>
        </is>
      </c>
      <c r="B18" s="19" t="n"/>
      <c r="C18" s="20" t="n"/>
      <c r="D18" s="84" t="inlineStr">
        <is>
          <t>PASS-PRO (SHAFT Predial)</t>
        </is>
      </c>
      <c r="E18" s="129" t="n"/>
      <c r="F18" s="129" t="n"/>
      <c r="G18" s="129" t="n"/>
      <c r="H18" s="129" t="n"/>
    </row>
    <row r="19">
      <c r="A19" s="21" t="inlineStr">
        <is>
          <t>C.N.P.J:</t>
        </is>
      </c>
      <c r="B19" s="22" t="n"/>
      <c r="C19" s="23" t="n"/>
      <c r="D19" s="85" t="inlineStr">
        <is>
          <t>42.346.316/0001-80</t>
        </is>
      </c>
      <c r="E19" s="130" t="n"/>
      <c r="F19" s="130" t="n"/>
      <c r="G19" s="130" t="n"/>
      <c r="H19" s="130" t="n"/>
    </row>
    <row r="20">
      <c r="A20" s="21" t="inlineStr">
        <is>
          <t>I.E:</t>
        </is>
      </c>
      <c r="B20" s="22" t="n"/>
      <c r="C20" s="23" t="n"/>
      <c r="D20" s="86" t="inlineStr">
        <is>
          <t>747027658119</t>
        </is>
      </c>
      <c r="E20" s="131" t="n"/>
      <c r="F20" s="131" t="n"/>
      <c r="G20" s="131" t="n"/>
      <c r="H20" s="131" t="n"/>
    </row>
    <row r="21">
      <c r="A21" s="21" t="inlineStr">
        <is>
          <t>Endereço:</t>
        </is>
      </c>
      <c r="B21" s="22" t="n"/>
      <c r="C21" s="23" t="n"/>
      <c r="D21" s="88" t="inlineStr">
        <is>
          <t>Rua Salvador Perez, 136 - Parque Residencial dos Imigrantes - Holambra/SP - CEP 13828-000</t>
        </is>
      </c>
      <c r="E21" s="131" t="n"/>
      <c r="F21" s="131" t="n"/>
      <c r="G21" s="131" t="n"/>
      <c r="H21" s="131" t="n"/>
    </row>
    <row r="22">
      <c r="A22" s="21" t="inlineStr">
        <is>
          <t>Telefone:</t>
        </is>
      </c>
      <c r="B22" s="22" t="n"/>
      <c r="C22" s="23" t="n"/>
      <c r="D22" s="88" t="inlineStr">
        <is>
          <t>(11) 2885-8428 / (11) 4169-4538 / (11) 99180-1089</t>
        </is>
      </c>
      <c r="E22" s="131" t="n"/>
      <c r="F22" s="131" t="n"/>
      <c r="G22" s="131" t="n"/>
      <c r="H22" s="131" t="n"/>
    </row>
    <row r="23">
      <c r="A23" s="24" t="inlineStr">
        <is>
          <t>Email:</t>
        </is>
      </c>
      <c r="B23" s="25" t="n"/>
      <c r="C23" s="26" t="n"/>
      <c r="D23" s="89" t="inlineStr">
        <is>
          <t>epe@conceittoshafts.com.br</t>
        </is>
      </c>
      <c r="E23" s="131" t="n"/>
      <c r="F23" s="131" t="n"/>
      <c r="G23" s="131" t="n"/>
      <c r="H23" s="131" t="n"/>
    </row>
    <row r="24">
      <c r="A24" s="27" t="inlineStr">
        <is>
          <t>Nome do contato:</t>
        </is>
      </c>
      <c r="B24" s="28" t="n"/>
      <c r="C24" s="29" t="n"/>
      <c r="D24" s="90" t="inlineStr">
        <is>
          <t>Danilo</t>
        </is>
      </c>
      <c r="E24" s="133" t="n"/>
      <c r="F24" s="133" t="n"/>
      <c r="G24" s="133" t="n"/>
      <c r="H24" s="133" t="n"/>
    </row>
    <row r="25" ht="18" customHeight="1">
      <c r="A25" s="77" t="inlineStr">
        <is>
          <t>DADOS PARA FATURAMENTO</t>
        </is>
      </c>
      <c r="B25" s="128" t="n"/>
      <c r="C25" s="128" t="n"/>
      <c r="D25" s="128" t="n"/>
      <c r="E25" s="128" t="n"/>
      <c r="F25" s="128" t="n"/>
      <c r="G25" s="128" t="n"/>
      <c r="H25" s="128" t="n"/>
    </row>
    <row r="26">
      <c r="A26" s="18" t="inlineStr">
        <is>
          <t>Razão Social:</t>
        </is>
      </c>
      <c r="B26" s="19" t="n"/>
      <c r="C26" s="20" t="n"/>
      <c r="D26" s="91" t="inlineStr">
        <is>
          <t>BELA VISTA EMPREENDIMENTO IMOBILIÁRIO S.A.</t>
        </is>
      </c>
      <c r="E26" s="130" t="n"/>
      <c r="F26" s="130" t="n"/>
      <c r="G26" s="130" t="n"/>
      <c r="H26" s="130" t="n"/>
    </row>
    <row r="27" ht="13" customHeight="1">
      <c r="A27" s="21" t="inlineStr">
        <is>
          <t>Endereço:</t>
        </is>
      </c>
      <c r="B27" s="22" t="n"/>
      <c r="C27" s="23" t="n"/>
      <c r="D27" s="92" t="inlineStr">
        <is>
          <t>AV DAS NAÇÕES UNIDAS, 14401 - ANDAR 5 B1 - VILA GERTRUDES - SÃO PAULO/SP</t>
        </is>
      </c>
      <c r="E27" s="131" t="n"/>
      <c r="F27" s="131" t="n"/>
      <c r="G27" s="131" t="n"/>
      <c r="H27" s="131" t="n"/>
    </row>
    <row r="28">
      <c r="A28" s="21" t="inlineStr">
        <is>
          <t>C.N.P.J:</t>
        </is>
      </c>
      <c r="B28" s="22" t="n"/>
      <c r="C28" s="23" t="n"/>
      <c r="D28" s="93" t="inlineStr">
        <is>
          <t>47.312.779/0001-44</t>
        </is>
      </c>
      <c r="E28" s="131" t="n"/>
      <c r="F28" s="131" t="n"/>
      <c r="G28" s="131" t="n"/>
      <c r="H28" s="131" t="n"/>
    </row>
    <row r="29">
      <c r="A29" s="21" t="inlineStr">
        <is>
          <t>I.E:</t>
        </is>
      </c>
      <c r="B29" s="22" t="n"/>
      <c r="C29" s="23" t="n"/>
      <c r="D29" s="94" t="inlineStr">
        <is>
          <t>-</t>
        </is>
      </c>
      <c r="E29" s="131" t="n"/>
      <c r="F29" s="131" t="n"/>
      <c r="G29" s="131" t="n"/>
      <c r="H29" s="131" t="n"/>
    </row>
    <row r="30">
      <c r="A30" s="30" t="inlineStr">
        <is>
          <t>Telefone:</t>
        </is>
      </c>
      <c r="B30" s="31" t="n"/>
      <c r="C30" s="32" t="n"/>
      <c r="D30" s="95" t="inlineStr">
        <is>
          <t>(11) 3465-7000</t>
        </is>
      </c>
      <c r="E30" s="134" t="n"/>
      <c r="F30" s="134" t="n"/>
      <c r="G30" s="134" t="n"/>
      <c r="H30" s="134" t="n"/>
    </row>
    <row r="31" ht="18" customHeight="1">
      <c r="A31" s="77" t="inlineStr">
        <is>
          <t>DADOS PARA ENTREGA</t>
        </is>
      </c>
      <c r="B31" s="128" t="n"/>
      <c r="C31" s="128" t="n"/>
      <c r="D31" s="128" t="n"/>
      <c r="E31" s="128" t="n"/>
      <c r="F31" s="128" t="n"/>
      <c r="G31" s="128" t="n"/>
      <c r="H31" s="128" t="n"/>
    </row>
    <row r="32">
      <c r="A32" s="33" t="inlineStr">
        <is>
          <t>Razão Social:</t>
        </is>
      </c>
      <c r="B32" s="34" t="n"/>
      <c r="C32" s="35" t="n"/>
      <c r="D32" s="91" t="inlineStr">
        <is>
          <t>BELA VISTA EMPREENDIMENTO IMOBILIÁRIO S.A.</t>
        </is>
      </c>
      <c r="E32" s="130" t="n"/>
      <c r="F32" s="130" t="n"/>
      <c r="G32" s="130" t="n"/>
      <c r="H32" s="130" t="n"/>
    </row>
    <row r="33" ht="13" customHeight="1">
      <c r="A33" s="21" t="inlineStr">
        <is>
          <t>Endereço:</t>
        </is>
      </c>
      <c r="B33" s="22" t="n"/>
      <c r="C33" s="23" t="n"/>
      <c r="D33" s="92" t="inlineStr">
        <is>
          <t>RUA DOUTOR PENAFORTE MENDES, 74 - BELA VISTA - CEP 01308-010</t>
        </is>
      </c>
      <c r="E33" s="131" t="n"/>
      <c r="F33" s="131" t="n"/>
      <c r="G33" s="131" t="n"/>
      <c r="H33" s="131" t="n"/>
    </row>
    <row r="34">
      <c r="A34" s="21" t="inlineStr">
        <is>
          <t>C.N.P.J:</t>
        </is>
      </c>
      <c r="B34" s="22" t="n"/>
      <c r="C34" s="23" t="n"/>
      <c r="D34" s="93" t="inlineStr">
        <is>
          <t>47.312.779/0001-44</t>
        </is>
      </c>
      <c r="E34" s="131" t="n"/>
      <c r="F34" s="131" t="n"/>
      <c r="G34" s="131" t="n"/>
      <c r="H34" s="131" t="n"/>
    </row>
    <row r="35">
      <c r="A35" s="21" t="inlineStr">
        <is>
          <t>I.E:</t>
        </is>
      </c>
      <c r="B35" s="22" t="n"/>
      <c r="C35" s="23" t="n"/>
      <c r="D35" s="94" t="inlineStr">
        <is>
          <t>-</t>
        </is>
      </c>
      <c r="E35" s="131" t="n"/>
      <c r="F35" s="131" t="n"/>
      <c r="G35" s="131" t="n"/>
      <c r="H35" s="131" t="n"/>
    </row>
    <row r="36">
      <c r="A36" s="24" t="inlineStr">
        <is>
          <t>Telefone:</t>
        </is>
      </c>
      <c r="B36" s="25" t="n"/>
      <c r="C36" s="26" t="n"/>
      <c r="D36" s="96" t="inlineStr">
        <is>
          <t>(11) 99117-5741 - Antônio</t>
        </is>
      </c>
      <c r="E36" s="135" t="n"/>
      <c r="F36" s="135" t="n"/>
      <c r="G36" s="135" t="n"/>
      <c r="H36" s="135" t="n"/>
    </row>
    <row r="37" ht="30" customHeight="1" thickBot="1" thickTop="1">
      <c r="A37" s="67" t="inlineStr">
        <is>
          <t>CÓD. DO ITEM</t>
        </is>
      </c>
      <c r="B37" s="68" t="inlineStr">
        <is>
          <t>QUANT.</t>
        </is>
      </c>
      <c r="C37" s="69" t="inlineStr">
        <is>
          <t>UN.</t>
        </is>
      </c>
      <c r="D37" s="97" t="inlineStr">
        <is>
          <t>PRODUTO</t>
        </is>
      </c>
      <c r="E37" s="136" t="n"/>
      <c r="F37" s="68" t="inlineStr">
        <is>
          <t>R$ UNIT.</t>
        </is>
      </c>
      <c r="G37" s="68" t="inlineStr">
        <is>
          <t>% IPI</t>
        </is>
      </c>
      <c r="H37" s="68" t="inlineStr">
        <is>
          <t>R$ SUB-TOTAL</t>
        </is>
      </c>
    </row>
    <row r="38" ht="24.5" customHeight="1" thickBot="1">
      <c r="A38" s="111" t="inlineStr">
        <is>
          <t>PASS-20X20X12</t>
        </is>
      </c>
      <c r="B38" s="112" t="n">
        <v>400</v>
      </c>
      <c r="C38" s="113" t="inlineStr">
        <is>
          <t>Pç</t>
        </is>
      </c>
      <c r="D38" s="114" t="inlineStr">
        <is>
          <t>Passante em EPE 20 x 20 x 12 cm</t>
        </is>
      </c>
      <c r="E38" s="137" t="n"/>
      <c r="F38" s="115" t="n">
        <v>9.119999999999999</v>
      </c>
      <c r="G38" s="116" t="n"/>
      <c r="H38" s="117">
        <f>F38*B38</f>
        <v/>
      </c>
    </row>
    <row r="39" ht="24.5" customHeight="1">
      <c r="A39" s="111" t="inlineStr">
        <is>
          <t>PASS-10X10X12</t>
        </is>
      </c>
      <c r="B39" s="112" t="n">
        <v>400</v>
      </c>
      <c r="C39" s="113" t="inlineStr">
        <is>
          <t>Pç</t>
        </is>
      </c>
      <c r="D39" s="114" t="inlineStr">
        <is>
          <t>Passante em EPE 10 x 10 x 12 cm</t>
        </is>
      </c>
      <c r="E39" s="137" t="n"/>
      <c r="F39" s="115" t="n">
        <v>2.28</v>
      </c>
      <c r="G39" s="116" t="n"/>
      <c r="H39" s="117">
        <f>F39*B39</f>
        <v/>
      </c>
    </row>
    <row r="40" ht="24.5" customHeight="1">
      <c r="A40" s="111" t="inlineStr">
        <is>
          <t>PASS-20X10X12</t>
        </is>
      </c>
      <c r="B40" s="112" t="n">
        <v>800</v>
      </c>
      <c r="C40" s="113" t="inlineStr">
        <is>
          <t>Pç</t>
        </is>
      </c>
      <c r="D40" s="114" t="inlineStr">
        <is>
          <t>Passante em EPE 20 x 10 x 12 cm</t>
        </is>
      </c>
      <c r="E40" s="137" t="n"/>
      <c r="F40" s="115" t="n">
        <v>4.56</v>
      </c>
      <c r="G40" s="116" t="n"/>
      <c r="H40" s="117">
        <f>F40*B40</f>
        <v/>
      </c>
    </row>
    <row r="41" ht="24.5" customHeight="1">
      <c r="A41" s="111" t="inlineStr">
        <is>
          <t>PASS-15X15X12</t>
        </is>
      </c>
      <c r="B41" s="112" t="n">
        <v>1300</v>
      </c>
      <c r="C41" s="113" t="inlineStr">
        <is>
          <t>Pç</t>
        </is>
      </c>
      <c r="D41" s="114" t="inlineStr">
        <is>
          <t>Passante em EPE 15 x 15 x 12 cm</t>
        </is>
      </c>
      <c r="E41" s="137" t="n"/>
      <c r="F41" s="115" t="n">
        <v>5.13</v>
      </c>
      <c r="G41" s="116" t="n"/>
      <c r="H41" s="117">
        <f>F41*B41</f>
        <v/>
      </c>
    </row>
    <row r="42" ht="9" customHeight="1">
      <c r="A42" s="138" t="n"/>
      <c r="E42" s="139" t="n"/>
      <c r="F42" s="109" t="inlineStr">
        <is>
          <t>SUB-TOTAL</t>
        </is>
      </c>
      <c r="G42" s="126" t="n"/>
      <c r="H42" s="110">
        <f>SUM(H38:H41)</f>
        <v/>
      </c>
    </row>
    <row r="43">
      <c r="A43" s="140" t="n"/>
      <c r="E43" s="139" t="n"/>
      <c r="F43" s="98" t="inlineStr">
        <is>
          <t>FRETE</t>
        </is>
      </c>
      <c r="G43" s="141" t="n"/>
      <c r="H43" s="63" t="n">
        <v>0</v>
      </c>
    </row>
    <row r="44">
      <c r="A44" s="142" t="n"/>
      <c r="B44" s="126" t="n"/>
      <c r="C44" s="126" t="n"/>
      <c r="D44" s="126" t="n"/>
      <c r="E44" s="143" t="n"/>
      <c r="F44" s="98" t="inlineStr">
        <is>
          <t>TOTAL GERAL</t>
        </is>
      </c>
      <c r="G44" s="141" t="n"/>
      <c r="H44" s="63">
        <f>H42+H43</f>
        <v/>
      </c>
    </row>
    <row r="45" ht="19.5" customHeight="1">
      <c r="A45" s="36" t="n"/>
      <c r="B45" s="37" t="n"/>
      <c r="C45" s="37" t="n"/>
      <c r="D45" s="38" t="n"/>
      <c r="E45" s="38" t="n"/>
      <c r="F45" s="39" t="n"/>
      <c r="G45" s="39" t="n"/>
      <c r="H45" s="40" t="n"/>
    </row>
    <row r="46" ht="19.5" customHeight="1">
      <c r="A46" s="41" t="inlineStr">
        <is>
          <t>Data prevista pagamento:</t>
        </is>
      </c>
      <c r="B46" s="42" t="n"/>
      <c r="C46" s="99" t="inlineStr">
        <is>
          <t>28 DDL</t>
        </is>
      </c>
      <c r="D46" s="141" t="n"/>
      <c r="E46" s="43" t="n"/>
      <c r="F46" s="41" t="inlineStr">
        <is>
          <t>Prazo de Entrega:</t>
        </is>
      </c>
      <c r="G46" s="44" t="n"/>
      <c r="H46" s="45" t="inlineStr">
        <is>
          <t>7</t>
        </is>
      </c>
    </row>
    <row r="47" ht="16" customFormat="1" customHeight="1" s="120">
      <c r="A47" s="46" t="inlineStr">
        <is>
          <t>Observações:</t>
        </is>
      </c>
      <c r="B47" s="47" t="n"/>
      <c r="C47" s="64" t="n"/>
      <c r="D47" s="64" t="n"/>
      <c r="E47" s="64" t="n"/>
      <c r="F47" s="65" t="n"/>
      <c r="G47" s="65" t="n"/>
      <c r="H47" s="66" t="n"/>
    </row>
    <row r="48">
      <c r="A48" s="144" t="inlineStr">
        <is>
          <t>PEDIDO DO FORNECEDOR:</t>
        </is>
      </c>
      <c r="C48" s="53" t="inlineStr">
        <is>
          <t>142980W</t>
        </is>
      </c>
      <c r="D48" s="53" t="n"/>
      <c r="E48" s="53" t="n"/>
      <c r="F48" s="54" t="n"/>
      <c r="G48" s="54" t="n"/>
      <c r="H48" s="55" t="n"/>
    </row>
    <row r="49" ht="15.75" customHeight="1">
      <c r="A49" s="51" t="inlineStr">
        <is>
          <t>Enviar dados para depósito junto com a NF. Frete CIF. Impostos inclusos. Sem IPI conforme cotação.</t>
        </is>
      </c>
      <c r="B49" s="52" t="n"/>
      <c r="C49" s="53" t="n"/>
      <c r="D49" s="53" t="n"/>
      <c r="E49" s="53" t="n"/>
      <c r="F49" s="54" t="n"/>
      <c r="G49" s="54" t="n"/>
      <c r="H49" s="55" t="n"/>
    </row>
    <row r="50" ht="42.75" customHeight="1">
      <c r="A50" s="118" t="inlineStr">
        <is>
          <t>Inserir na obs da nota fiscal referente ao pedido 001 de Hidráulica</t>
        </is>
      </c>
      <c r="I50" s="121" t="n"/>
      <c r="J50" s="121" t="n"/>
      <c r="K50" s="121" t="n"/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  <c r="AA50" s="121" t="n"/>
      <c r="AB50" s="121" t="n"/>
      <c r="AC50" s="121" t="n"/>
      <c r="AD50" s="121" t="n"/>
      <c r="AE50" s="121" t="n"/>
      <c r="AF50" s="121" t="n"/>
      <c r="AG50" s="121" t="n"/>
      <c r="AH50" s="121" t="n"/>
      <c r="AI50" s="121" t="n"/>
      <c r="AJ50" s="121" t="n"/>
      <c r="AK50" s="121" t="n"/>
      <c r="AL50" s="121" t="n"/>
      <c r="AM50" s="121" t="n"/>
      <c r="AN50" s="121" t="n"/>
      <c r="AO50" s="121" t="n"/>
      <c r="AP50" s="121" t="n"/>
      <c r="AQ50" s="121" t="n"/>
      <c r="AR50" s="121" t="n"/>
      <c r="AS50" s="121" t="n"/>
      <c r="AT50" s="121" t="n"/>
      <c r="AU50" s="121" t="n"/>
      <c r="AV50" s="121" t="n"/>
      <c r="AW50" s="121" t="n"/>
      <c r="AX50" s="121" t="n"/>
      <c r="AY50" s="121" t="n"/>
      <c r="AZ50" s="121" t="n"/>
      <c r="BA50" s="121" t="n"/>
      <c r="BB50" s="121" t="n"/>
      <c r="BC50" s="121" t="n"/>
      <c r="BD50" s="121" t="n"/>
      <c r="BE50" s="121" t="n"/>
      <c r="BF50" s="121" t="n"/>
      <c r="BG50" s="121" t="n"/>
      <c r="BH50" s="121" t="n"/>
      <c r="BI50" s="121" t="n"/>
      <c r="BJ50" s="121" t="n"/>
      <c r="BK50" s="121" t="n"/>
      <c r="BL50" s="121" t="n"/>
      <c r="BM50" s="121" t="n"/>
      <c r="BN50" s="121" t="n"/>
      <c r="BO50" s="121" t="n"/>
      <c r="BP50" s="121" t="n"/>
      <c r="BQ50" s="121" t="n"/>
      <c r="BR50" s="121" t="n"/>
      <c r="BS50" s="121" t="n"/>
      <c r="BT50" s="121" t="n"/>
      <c r="BU50" s="121" t="n"/>
      <c r="BV50" s="121" t="n"/>
      <c r="BW50" s="121" t="n"/>
      <c r="BX50" s="121" t="n"/>
      <c r="BY50" s="121" t="n"/>
      <c r="BZ50" s="121" t="n"/>
      <c r="CA50" s="121" t="n"/>
      <c r="CB50" s="121" t="n"/>
      <c r="CC50" s="121" t="n"/>
      <c r="CD50" s="121" t="n"/>
      <c r="CE50" s="121" t="n"/>
      <c r="CF50" s="121" t="n"/>
      <c r="CG50" s="121" t="n"/>
      <c r="CH50" s="121" t="n"/>
      <c r="CI50" s="121" t="n"/>
      <c r="CJ50" s="121" t="n"/>
      <c r="CK50" s="121" t="n"/>
      <c r="CL50" s="121" t="n"/>
      <c r="CM50" s="121" t="n"/>
      <c r="CN50" s="121" t="n"/>
      <c r="CO50" s="121" t="n"/>
      <c r="CP50" s="121" t="n"/>
      <c r="CQ50" s="121" t="n"/>
      <c r="CR50" s="121" t="n"/>
      <c r="CS50" s="121" t="n"/>
      <c r="CT50" s="121" t="n"/>
      <c r="CU50" s="121" t="n"/>
      <c r="CV50" s="121" t="n"/>
      <c r="CW50" s="121" t="n"/>
      <c r="CX50" s="121" t="n"/>
      <c r="CY50" s="121" t="n"/>
      <c r="CZ50" s="121" t="n"/>
      <c r="DA50" s="121" t="n"/>
      <c r="DB50" s="121" t="n"/>
      <c r="DC50" s="121" t="n"/>
      <c r="DD50" s="121" t="n"/>
      <c r="DE50" s="121" t="n"/>
      <c r="DF50" s="121" t="n"/>
      <c r="DG50" s="121" t="n"/>
      <c r="DH50" s="121" t="n"/>
      <c r="DI50" s="121" t="n"/>
      <c r="DJ50" s="121" t="n"/>
      <c r="DK50" s="121" t="n"/>
      <c r="DL50" s="121" t="n"/>
      <c r="DM50" s="121" t="n"/>
      <c r="DN50" s="121" t="n"/>
      <c r="DO50" s="121" t="n"/>
      <c r="DP50" s="121" t="n"/>
      <c r="DQ50" s="121" t="n"/>
      <c r="DR50" s="121" t="n"/>
      <c r="DS50" s="121" t="n"/>
      <c r="DT50" s="121" t="n"/>
      <c r="DU50" s="121" t="n"/>
      <c r="DV50" s="121" t="n"/>
      <c r="DW50" s="121" t="n"/>
      <c r="DX50" s="121" t="n"/>
      <c r="DY50" s="121" t="n"/>
      <c r="DZ50" s="121" t="n"/>
      <c r="EA50" s="121" t="n"/>
      <c r="EB50" s="121" t="n"/>
      <c r="EC50" s="121" t="n"/>
      <c r="ED50" s="121" t="n"/>
      <c r="EE50" s="121" t="n"/>
      <c r="EF50" s="121" t="n"/>
      <c r="EG50" s="121" t="n"/>
      <c r="EH50" s="121" t="n"/>
      <c r="EI50" s="121" t="n"/>
      <c r="EJ50" s="121" t="n"/>
      <c r="EK50" s="121" t="n"/>
      <c r="EL50" s="121" t="n"/>
      <c r="EM50" s="121" t="n"/>
      <c r="EN50" s="121" t="n"/>
      <c r="EO50" s="121" t="n"/>
      <c r="EP50" s="121" t="n"/>
      <c r="EQ50" s="121" t="n"/>
      <c r="ER50" s="121" t="n"/>
      <c r="ES50" s="121" t="n"/>
      <c r="ET50" s="121" t="n"/>
      <c r="EU50" s="121" t="n"/>
      <c r="EV50" s="121" t="n"/>
      <c r="EW50" s="121" t="n"/>
      <c r="EX50" s="121" t="n"/>
      <c r="EY50" s="121" t="n"/>
      <c r="EZ50" s="121" t="n"/>
      <c r="FA50" s="121" t="n"/>
      <c r="FB50" s="121" t="n"/>
      <c r="FC50" s="121" t="n"/>
      <c r="FD50" s="121" t="n"/>
      <c r="FE50" s="121" t="n"/>
      <c r="FF50" s="121" t="n"/>
      <c r="FG50" s="121" t="n"/>
      <c r="FH50" s="121" t="n"/>
      <c r="FI50" s="121" t="n"/>
      <c r="FJ50" s="121" t="n"/>
      <c r="FK50" s="121" t="n"/>
      <c r="FL50" s="121" t="n"/>
      <c r="FM50" s="121" t="n"/>
      <c r="FN50" s="121" t="n"/>
      <c r="FO50" s="121" t="n"/>
      <c r="FP50" s="121" t="n"/>
      <c r="FQ50" s="121" t="n"/>
      <c r="FR50" s="121" t="n"/>
      <c r="FS50" s="121" t="n"/>
      <c r="FT50" s="121" t="n"/>
      <c r="FU50" s="121" t="n"/>
      <c r="FV50" s="121" t="n"/>
      <c r="FW50" s="121" t="n"/>
      <c r="FX50" s="121" t="n"/>
      <c r="FY50" s="121" t="n"/>
      <c r="FZ50" s="121" t="n"/>
      <c r="GA50" s="121" t="n"/>
      <c r="GB50" s="121" t="n"/>
      <c r="GC50" s="121" t="n"/>
      <c r="GD50" s="121" t="n"/>
      <c r="GE50" s="121" t="n"/>
      <c r="GF50" s="121" t="n"/>
      <c r="GG50" s="121" t="n"/>
      <c r="GH50" s="121" t="n"/>
      <c r="GI50" s="121" t="n"/>
      <c r="GJ50" s="121" t="n"/>
      <c r="GK50" s="121" t="n"/>
      <c r="GL50" s="121" t="n"/>
      <c r="GM50" s="121" t="n"/>
      <c r="GN50" s="121" t="n"/>
      <c r="GO50" s="121" t="n"/>
      <c r="GP50" s="121" t="n"/>
      <c r="GQ50" s="121" t="n"/>
      <c r="GR50" s="121" t="n"/>
      <c r="GS50" s="121" t="n"/>
      <c r="GT50" s="121" t="n"/>
      <c r="GU50" s="121" t="n"/>
      <c r="GV50" s="121" t="n"/>
      <c r="GW50" s="121" t="n"/>
      <c r="GX50" s="121" t="n"/>
      <c r="GY50" s="121" t="n"/>
      <c r="GZ50" s="121" t="n"/>
      <c r="HA50" s="121" t="n"/>
      <c r="HB50" s="121" t="n"/>
      <c r="HC50" s="121" t="n"/>
      <c r="HD50" s="121" t="n"/>
      <c r="HE50" s="121" t="n"/>
      <c r="HF50" s="121" t="n"/>
      <c r="HG50" s="121" t="n"/>
      <c r="HH50" s="121" t="n"/>
      <c r="HI50" s="121" t="n"/>
      <c r="HJ50" s="121" t="n"/>
      <c r="HK50" s="121" t="n"/>
      <c r="HL50" s="121" t="n"/>
      <c r="HM50" s="121" t="n"/>
      <c r="HN50" s="121" t="n"/>
      <c r="HO50" s="121" t="n"/>
      <c r="HP50" s="121" t="n"/>
      <c r="HQ50" s="121" t="n"/>
      <c r="HR50" s="121" t="n"/>
      <c r="HS50" s="121" t="n"/>
      <c r="HT50" s="121" t="n"/>
      <c r="HU50" s="121" t="n"/>
      <c r="HV50" s="121" t="n"/>
      <c r="HW50" s="121" t="n"/>
      <c r="HX50" s="121" t="n"/>
      <c r="HY50" s="121" t="n"/>
      <c r="HZ50" s="121" t="n"/>
      <c r="IA50" s="121" t="n"/>
      <c r="IB50" s="121" t="n"/>
      <c r="IC50" s="121" t="n"/>
      <c r="ID50" s="121" t="n"/>
      <c r="IE50" s="121" t="n"/>
      <c r="IF50" s="121" t="n"/>
      <c r="IG50" s="121" t="n"/>
      <c r="IH50" s="121" t="n"/>
      <c r="II50" s="121" t="n"/>
      <c r="IJ50" s="121" t="n"/>
      <c r="IK50" s="121" t="n"/>
      <c r="IL50" s="121" t="n"/>
      <c r="IM50" s="121" t="n"/>
      <c r="IN50" s="121" t="n"/>
      <c r="IO50" s="121" t="n"/>
      <c r="IP50" s="121" t="n"/>
      <c r="IQ50" s="121" t="n"/>
      <c r="IR50" s="121" t="n"/>
      <c r="IS50" s="121" t="n"/>
      <c r="IT50" s="121" t="n"/>
      <c r="IU50" s="121" t="n"/>
      <c r="IV50" s="121" t="n"/>
      <c r="IW50" s="121" t="n"/>
    </row>
    <row r="51">
      <c r="A51" s="46" t="n"/>
      <c r="B51" s="47" t="n"/>
      <c r="C51" s="48" t="n"/>
      <c r="D51" s="48" t="n"/>
      <c r="E51" s="48" t="n"/>
      <c r="F51" s="49" t="n"/>
      <c r="G51" s="49" t="n"/>
      <c r="H51" s="50" t="n"/>
    </row>
    <row r="52">
      <c r="A52" s="145" t="inlineStr">
        <is>
          <t>" A BELA VISTA RESERVA-SE NO DIREITO DE NÃO ACEITAR TÍTULOS NEGOCIADOS COM TERCEIROS"</t>
        </is>
      </c>
    </row>
    <row r="53">
      <c r="A53" s="56" t="inlineStr">
        <is>
          <t xml:space="preserve">APROVAÇÃO: </t>
        </is>
      </c>
      <c r="B53" s="57" t="n"/>
      <c r="C53" s="58" t="n"/>
      <c r="D53" s="59" t="n"/>
      <c r="E53" s="60" t="inlineStr">
        <is>
          <t>DATA:</t>
        </is>
      </c>
      <c r="F53" s="61" t="n"/>
      <c r="G53" s="61" t="n"/>
      <c r="H53" s="62" t="n"/>
    </row>
  </sheetData>
  <mergeCells count="47">
    <mergeCell ref="A9:H9"/>
    <mergeCell ref="A48:B48"/>
    <mergeCell ref="D35:H35"/>
    <mergeCell ref="D20:H20"/>
    <mergeCell ref="B7:C7"/>
    <mergeCell ref="D34:H34"/>
    <mergeCell ref="D10:H10"/>
    <mergeCell ref="D19:H19"/>
    <mergeCell ref="G5:H6"/>
    <mergeCell ref="D40:E40"/>
    <mergeCell ref="D22:H22"/>
    <mergeCell ref="D36:H36"/>
    <mergeCell ref="D21:H21"/>
    <mergeCell ref="A25:H25"/>
    <mergeCell ref="G1:H2"/>
    <mergeCell ref="D11:H11"/>
    <mergeCell ref="D13:H13"/>
    <mergeCell ref="D27:H27"/>
    <mergeCell ref="F42:G42"/>
    <mergeCell ref="D32:H32"/>
    <mergeCell ref="D41:E41"/>
    <mergeCell ref="A50:H50"/>
    <mergeCell ref="C46:D46"/>
    <mergeCell ref="D16:H16"/>
    <mergeCell ref="D37:E37"/>
    <mergeCell ref="D28:H28"/>
    <mergeCell ref="A42:E44"/>
    <mergeCell ref="D18:H18"/>
    <mergeCell ref="A8:H8"/>
    <mergeCell ref="A17:H17"/>
    <mergeCell ref="F43:G43"/>
    <mergeCell ref="D39:E39"/>
    <mergeCell ref="D30:H30"/>
    <mergeCell ref="D12:H12"/>
    <mergeCell ref="D15:H15"/>
    <mergeCell ref="D1:E6"/>
    <mergeCell ref="D24:H24"/>
    <mergeCell ref="D33:H33"/>
    <mergeCell ref="A52:H52"/>
    <mergeCell ref="D38:E38"/>
    <mergeCell ref="D29:H29"/>
    <mergeCell ref="D23:H23"/>
    <mergeCell ref="D14:H14"/>
    <mergeCell ref="F44:G44"/>
    <mergeCell ref="A31:H31"/>
    <mergeCell ref="D26:H26"/>
    <mergeCell ref="G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2026-05-21T22:20:28Z</dcterms:created>
  <dcterms:modified xmlns:dcterms="http://purl.org/dc/terms/" xmlns:xsi="http://www.w3.org/2001/XMLSchema-instance" xsi:type="dcterms:W3CDTF">2026-05-28T16:07:10Z</dcterms:modified>
  <cp:lastModifiedBy>Felipe Barcelos</cp:lastModifiedBy>
</cp:coreProperties>
</file>