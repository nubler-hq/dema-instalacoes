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or-ryt-paulista/requests/"/>
    </mc:Choice>
  </mc:AlternateContent>
  <xr:revisionPtr revIDLastSave="0" documentId="8_{5F35CA5B-F775-FB4A-A2A5-51C644DB1FE1}" xr6:coauthVersionLast="47" xr6:coauthVersionMax="47" xr10:uidLastSave="{00000000-0000-0000-0000-000000000000}"/>
  <bookViews>
    <workbookView xWindow="0" yWindow="600" windowWidth="76800" windowHeight="41020" xr2:uid="{00000000-000D-0000-FFFF-FFFF00000000}"/>
  </bookViews>
  <sheets>
    <sheet name="Baume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40" i="1" l="1"/>
  <c r="H42" i="1" s="1"/>
</calcChain>
</file>

<file path=xl/sharedStrings.xml><?xml version="1.0" encoding="utf-8"?>
<sst xmlns="http://schemas.openxmlformats.org/spreadsheetml/2006/main" count="82" uniqueCount="60">
  <si>
    <t>PEDIDO DE COMPRA</t>
  </si>
  <si>
    <t>PEDIDO Nº:</t>
  </si>
  <si>
    <t>EMPREENDIMENTO:</t>
  </si>
  <si>
    <t>DATA:</t>
  </si>
  <si>
    <t>DADOS DA EMPRESA CONTRATADA DIRETAMENTE PELA BELA VISTA</t>
  </si>
  <si>
    <t>Razão Social:</t>
  </si>
  <si>
    <t>C.N.P.J:</t>
  </si>
  <si>
    <t>I.E:</t>
  </si>
  <si>
    <t>Endereço:</t>
  </si>
  <si>
    <t>Telefone:</t>
  </si>
  <si>
    <t>Email:</t>
  </si>
  <si>
    <t>Nome do contato:</t>
  </si>
  <si>
    <t>DADOS DO FORNECEDOR TERCEIRO</t>
  </si>
  <si>
    <t>DADOS PARA FATURAMENTO</t>
  </si>
  <si>
    <t>DADOS PARA ENTREGA</t>
  </si>
  <si>
    <t>CÓD. DO ITEM</t>
  </si>
  <si>
    <t>QUANT.</t>
  </si>
  <si>
    <t>UN.</t>
  </si>
  <si>
    <t>PRODUTO</t>
  </si>
  <si>
    <t>R$ UNIT.</t>
  </si>
  <si>
    <t>% IPI</t>
  </si>
  <si>
    <t>R$ SUB-TOTAL</t>
  </si>
  <si>
    <t>Data prevista pagamento:</t>
  </si>
  <si>
    <t>Prazo de Entrega:</t>
  </si>
  <si>
    <t>" A BELA VISTA RESERVA-SE NO DIREITO DE NÃO ACEITAR TÍTULOS NEGOCIADOS COM TERCEIROS"</t>
  </si>
  <si>
    <t xml:space="preserve">APROVAÇÃO: </t>
  </si>
  <si>
    <t>RYT PAULISTA</t>
  </si>
  <si>
    <t>18/05/2026</t>
  </si>
  <si>
    <t>DEMA INSTALAÇÕES ELÉTRICAS, HIDRÁULICAS E MANUTENÇÕES LTDA</t>
  </si>
  <si>
    <t>07.944.979/0001-03</t>
  </si>
  <si>
    <t>126.622.481.114</t>
  </si>
  <si>
    <t>Av. Brigadeiro Luís Antônio, 3097, Jardim Paulista, São Paulo - SP</t>
  </si>
  <si>
    <t>(11) 94794-1317</t>
  </si>
  <si>
    <t>vendas@demainstalacoes.com.br</t>
  </si>
  <si>
    <t>Rebeca Meneses</t>
  </si>
  <si>
    <t>BELA VISTA EMPREENDIMENTO IMOBILIÁRIO S.A.</t>
  </si>
  <si>
    <t>AV DAS NAÇÕES UNIDAS, 14401 - ANDAR 5 B1 - VILA GERTRUDES - SÃO PAULO/SP</t>
  </si>
  <si>
    <t>47.312.779/0001-44</t>
  </si>
  <si>
    <t>-</t>
  </si>
  <si>
    <t>(11) 3465-7000</t>
  </si>
  <si>
    <t>RUA DOUTOR PENAFORTE MENDES, 74 - BELA VISTA - CEP 01308-010</t>
  </si>
  <si>
    <t>(11) 99117-5741 - Antônio</t>
  </si>
  <si>
    <t>SUB-TOTAL</t>
  </si>
  <si>
    <t>FRETE</t>
  </si>
  <si>
    <t>TOTAL GERAL</t>
  </si>
  <si>
    <t>28 DDL</t>
  </si>
  <si>
    <t>7 dias úteis</t>
  </si>
  <si>
    <t>Observações:</t>
  </si>
  <si>
    <t>Enviar dados para depósito junto com a NF. Frete CIF. Impostos inclusos. Sem IPI conforme cotação.</t>
  </si>
  <si>
    <t>CONECTOR ATERRINSERT C/DISCO TEL0656YT M12 P/REBAR DIAM 8-10MM</t>
  </si>
  <si>
    <t>PC</t>
  </si>
  <si>
    <t>7665</t>
  </si>
  <si>
    <t>A3 ELETRO COMERCIAL LTDA</t>
  </si>
  <si>
    <t>Avenida PRESTES MAIA, 535 - CENTRO SAO PAULO - SP - CEP: 01031-001</t>
  </si>
  <si>
    <t>(11) 3228-1577</t>
  </si>
  <si>
    <t>47.478.326/0001-92</t>
  </si>
  <si>
    <t>paulo@a3eletro.com.br, a3enviados@gmail.com</t>
  </si>
  <si>
    <t>Paulo Coyado</t>
  </si>
  <si>
    <t>PEDIDO DO FORNECEDOR: 241.182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</si>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</sst>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m/d/yy"/>
    <numFmt numFmtId="166" formatCode="&quot;R$&quot;\ #,##0.00"/>
  </numFmts>
  <fonts count="17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6"/>
      <name val="Tahoma"/>
      <family val="2"/>
    </font>
    <font>
      <sz val="10"/>
      <color rgb="FF33CCCC"/>
      <name val="Arial"/>
      <family val="2"/>
    </font>
    <font>
      <b/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color rgb="FFFF0000"/>
      <name val="Tahoma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6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8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8" fillId="0" borderId="0" applyBorder="0" applyAlignment="0" applyProtection="0"/>
    <xf numFmtId="0" fontId="1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right" vertical="center"/>
    </xf>
    <xf numFmtId="49" fontId="6" fillId="0" borderId="13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3" fontId="6" fillId="0" borderId="4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4" fontId="6" fillId="0" borderId="43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164" fontId="2" fillId="0" borderId="49" xfId="0" applyNumberFormat="1" applyFont="1" applyBorder="1" applyAlignment="1">
      <alignment vertical="center"/>
    </xf>
    <xf numFmtId="10" fontId="2" fillId="0" borderId="49" xfId="0" applyNumberFormat="1" applyFont="1" applyBorder="1" applyAlignment="1">
      <alignment horizontal="center" vertical="center"/>
    </xf>
    <xf numFmtId="164" fontId="2" fillId="0" borderId="50" xfId="0" applyNumberFormat="1" applyFont="1" applyBorder="1" applyAlignment="1">
      <alignment vertical="center"/>
    </xf>
    <xf numFmtId="0" fontId="5" fillId="0" borderId="5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2" fontId="5" fillId="2" borderId="50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2" borderId="48" xfId="0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165" fontId="6" fillId="2" borderId="50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53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2" fontId="14" fillId="2" borderId="5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5" fillId="2" borderId="54" xfId="0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center" vertical="center"/>
    </xf>
    <xf numFmtId="2" fontId="2" fillId="2" borderId="55" xfId="0" applyNumberFormat="1" applyFont="1" applyFill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166" fontId="10" fillId="0" borderId="5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2" fillId="2" borderId="53" xfId="0" applyNumberFormat="1" applyFont="1" applyFill="1" applyBorder="1" applyAlignment="1">
      <alignment horizontal="center" vertical="center" wrapText="1"/>
    </xf>
    <xf numFmtId="164" fontId="5" fillId="0" borderId="41" xfId="0" applyNumberFormat="1" applyFont="1" applyBorder="1" applyAlignment="1">
      <alignment horizontal="left" vertical="center" wrapText="1"/>
    </xf>
    <xf numFmtId="164" fontId="5" fillId="0" borderId="41" xfId="0" applyNumberFormat="1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49" fontId="9" fillId="0" borderId="42" xfId="0" applyNumberFormat="1" applyFont="1" applyBorder="1" applyAlignment="1">
      <alignment horizontal="left" vertical="center"/>
    </xf>
    <xf numFmtId="1" fontId="10" fillId="0" borderId="43" xfId="0" applyNumberFormat="1" applyFont="1" applyBorder="1" applyAlignment="1">
      <alignment horizontal="left" vertical="center"/>
    </xf>
    <xf numFmtId="3" fontId="10" fillId="0" borderId="43" xfId="0" applyNumberFormat="1" applyFont="1" applyBorder="1" applyAlignment="1">
      <alignment horizontal="left" vertical="center"/>
    </xf>
    <xf numFmtId="166" fontId="10" fillId="0" borderId="43" xfId="0" applyNumberFormat="1" applyFont="1" applyBorder="1" applyAlignment="1">
      <alignment horizontal="left" vertical="center"/>
    </xf>
    <xf numFmtId="9" fontId="10" fillId="0" borderId="43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2" fillId="0" borderId="48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49" fontId="9" fillId="0" borderId="44" xfId="0" applyNumberFormat="1" applyFont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/>
    </xf>
    <xf numFmtId="3" fontId="2" fillId="2" borderId="25" xfId="0" applyNumberFormat="1" applyFont="1" applyFill="1" applyBorder="1" applyAlignment="1">
      <alignment horizontal="left" vertical="center"/>
    </xf>
    <xf numFmtId="164" fontId="2" fillId="2" borderId="40" xfId="0" applyNumberFormat="1" applyFont="1" applyFill="1" applyBorder="1" applyAlignment="1">
      <alignment horizontal="left" vertical="center"/>
    </xf>
    <xf numFmtId="1" fontId="5" fillId="0" borderId="41" xfId="0" applyNumberFormat="1" applyFont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 wrapText="1"/>
    </xf>
    <xf numFmtId="0" fontId="1" fillId="0" borderId="32" xfId="0" applyFont="1" applyBorder="1"/>
    <xf numFmtId="0" fontId="3" fillId="0" borderId="32" xfId="0" applyFont="1" applyBorder="1"/>
    <xf numFmtId="0" fontId="1" fillId="0" borderId="24" xfId="0" applyFont="1" applyBorder="1"/>
    <xf numFmtId="0" fontId="3" fillId="0" borderId="24" xfId="0" applyFont="1" applyBorder="1"/>
    <xf numFmtId="0" fontId="3" fillId="0" borderId="25" xfId="0" applyFont="1" applyBorder="1"/>
    <xf numFmtId="0" fontId="1" fillId="0" borderId="25" xfId="0" applyFont="1" applyBorder="1"/>
    <xf numFmtId="0" fontId="16" fillId="0" borderId="25" xfId="7" applyBorder="1" applyAlignment="1"/>
    <xf numFmtId="0" fontId="8" fillId="0" borderId="25" xfId="6" applyBorder="1" applyAlignment="1"/>
    <xf numFmtId="0" fontId="3" fillId="0" borderId="20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1" fillId="0" borderId="20" xfId="0" applyFont="1" applyBorder="1"/>
    <xf numFmtId="166" fontId="10" fillId="0" borderId="45" xfId="0" applyNumberFormat="1" applyFont="1" applyBorder="1" applyAlignment="1">
      <alignment horizontal="left" vertical="center"/>
    </xf>
    <xf numFmtId="0" fontId="0" fillId="0" borderId="22" xfId="0" applyNumberFormat="1" applyBorder="1" applyAlignment="1">
      <alignment horizontal="left"/>
    </xf>
    <xf numFmtId="3" fontId="0" fillId="0" borderId="25" xfId="0" applyNumberFormat="1" applyBorder="1" applyAlignment="1">
      <alignment horizontal="left"/>
    </xf>
    <xf numFmtId="49" fontId="6" fillId="0" borderId="13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8">
    <cellStyle name="*unknown*" xfId="6" xr:uid="{00000000-0005-0000-0000-000006000000}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Hiperlink" xfId="7" builtinId="8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ulo@a3eletro.com.br%20;a3enviad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52"/>
  <sheetViews>
    <sheetView tabSelected="1" zoomScale="200" zoomScaleNormal="200" workbookViewId="0">
      <selection activeCell="A51" sqref="A51:H51"/>
    </sheetView>
  </sheetViews>
  <sheetFormatPr baseColWidth="10" defaultColWidth="0" defaultRowHeight="13" x14ac:dyDescent="0.15"/>
  <cols>
    <col min="1" max="1" width="15.5" style="2" customWidth="1"/>
    <col min="2" max="2" width="15" style="2" customWidth="1"/>
    <col min="3" max="3" width="13.1640625" style="2" customWidth="1"/>
    <col min="4" max="4" width="34" style="2" customWidth="1"/>
    <col min="5" max="5" width="16.5" style="2" customWidth="1"/>
    <col min="6" max="6" width="11.5" style="3" customWidth="1"/>
    <col min="7" max="7" width="10" style="3" customWidth="1"/>
    <col min="8" max="8" width="18.83203125" style="3" customWidth="1"/>
    <col min="9" max="257" width="11" style="4" hidden="1" customWidth="1"/>
    <col min="258" max="16384" width="11" hidden="1"/>
  </cols>
  <sheetData>
    <row r="1" spans="1:8" ht="12.75" customHeight="1" x14ac:dyDescent="0.15">
      <c r="A1" s="1"/>
      <c r="B1" s="5"/>
      <c r="C1" s="5"/>
      <c r="D1" s="122" t="s">
        <v>0</v>
      </c>
      <c r="E1" s="122"/>
      <c r="F1" s="6"/>
      <c r="G1" s="123"/>
      <c r="H1" s="123"/>
    </row>
    <row r="2" spans="1:8" ht="12.75" customHeight="1" x14ac:dyDescent="0.15">
      <c r="A2" s="7"/>
      <c r="B2" s="8"/>
      <c r="C2" s="8"/>
      <c r="D2" s="122"/>
      <c r="E2" s="122"/>
      <c r="F2" s="9"/>
      <c r="G2" s="123"/>
      <c r="H2" s="123"/>
    </row>
    <row r="3" spans="1:8" ht="12.75" customHeight="1" x14ac:dyDescent="0.15">
      <c r="A3" s="7"/>
      <c r="B3" s="8"/>
      <c r="C3" s="8"/>
      <c r="D3" s="122"/>
      <c r="E3" s="122"/>
      <c r="F3" s="9"/>
      <c r="G3" s="124"/>
      <c r="H3" s="124"/>
    </row>
    <row r="4" spans="1:8" ht="12.75" customHeight="1" x14ac:dyDescent="0.15">
      <c r="A4" s="7"/>
      <c r="B4" s="8"/>
      <c r="C4" s="8"/>
      <c r="D4" s="122"/>
      <c r="E4" s="122"/>
      <c r="F4" s="9"/>
      <c r="G4" s="124"/>
      <c r="H4" s="124"/>
    </row>
    <row r="5" spans="1:8" ht="12.75" customHeight="1" x14ac:dyDescent="0.15">
      <c r="A5" s="7"/>
      <c r="B5" s="8"/>
      <c r="C5" s="8"/>
      <c r="D5" s="122"/>
      <c r="E5" s="122"/>
      <c r="F5" s="9"/>
      <c r="G5" s="125"/>
      <c r="H5" s="125"/>
    </row>
    <row r="6" spans="1:8" ht="12.75" customHeight="1" x14ac:dyDescent="0.15">
      <c r="A6" s="10"/>
      <c r="B6" s="11"/>
      <c r="C6" s="11"/>
      <c r="D6" s="122"/>
      <c r="E6" s="122"/>
      <c r="F6" s="12"/>
      <c r="G6" s="125"/>
      <c r="H6" s="125"/>
    </row>
    <row r="7" spans="1:8" ht="27.75" customHeight="1" thickBot="1" x14ac:dyDescent="0.2">
      <c r="A7" s="13" t="s">
        <v>1</v>
      </c>
      <c r="B7" s="131" t="s">
        <v>59</v>
      </c>
      <c r="C7" s="131"/>
      <c r="D7" s="14" t="s">
        <v>2</v>
      </c>
      <c r="E7" s="15" t="s">
        <v>26</v>
      </c>
      <c r="F7" s="16"/>
      <c r="G7" s="17" t="s">
        <v>3</v>
      </c>
      <c r="H7" s="18" t="s">
        <v>27</v>
      </c>
    </row>
    <row r="8" spans="1:8" ht="22.5" customHeight="1" thickBot="1" x14ac:dyDescent="0.2">
      <c r="A8" s="126" t="s">
        <v>0</v>
      </c>
      <c r="B8" s="126"/>
      <c r="C8" s="126"/>
      <c r="D8" s="126"/>
      <c r="E8" s="126"/>
      <c r="F8" s="126"/>
      <c r="G8" s="126"/>
      <c r="H8" s="126"/>
    </row>
    <row r="9" spans="1:8" ht="18" customHeight="1" x14ac:dyDescent="0.15">
      <c r="A9" s="109" t="s">
        <v>4</v>
      </c>
      <c r="B9" s="109"/>
      <c r="C9" s="109"/>
      <c r="D9" s="109"/>
      <c r="E9" s="109"/>
      <c r="F9" s="109"/>
      <c r="G9" s="109"/>
      <c r="H9" s="109"/>
    </row>
    <row r="10" spans="1:8" ht="17.25" customHeight="1" x14ac:dyDescent="0.15">
      <c r="A10" s="19" t="s">
        <v>5</v>
      </c>
      <c r="B10" s="20"/>
      <c r="C10" s="21"/>
      <c r="D10" s="120" t="s">
        <v>28</v>
      </c>
      <c r="E10" s="120"/>
      <c r="F10" s="120"/>
      <c r="G10" s="120"/>
      <c r="H10" s="120"/>
    </row>
    <row r="11" spans="1:8" x14ac:dyDescent="0.15">
      <c r="A11" s="22" t="s">
        <v>6</v>
      </c>
      <c r="B11" s="23"/>
      <c r="C11" s="24"/>
      <c r="D11" s="115" t="s">
        <v>29</v>
      </c>
      <c r="E11" s="115"/>
      <c r="F11" s="115"/>
      <c r="G11" s="115"/>
      <c r="H11" s="115"/>
    </row>
    <row r="12" spans="1:8" x14ac:dyDescent="0.15">
      <c r="A12" s="22" t="s">
        <v>7</v>
      </c>
      <c r="B12" s="23"/>
      <c r="C12" s="24"/>
      <c r="D12" s="116" t="s">
        <v>30</v>
      </c>
      <c r="E12" s="116"/>
      <c r="F12" s="116"/>
      <c r="G12" s="116"/>
      <c r="H12" s="116"/>
    </row>
    <row r="13" spans="1:8" x14ac:dyDescent="0.15">
      <c r="A13" s="22" t="s">
        <v>8</v>
      </c>
      <c r="B13" s="23"/>
      <c r="C13" s="24"/>
      <c r="D13" s="121" t="s">
        <v>31</v>
      </c>
      <c r="E13" s="121"/>
      <c r="F13" s="121"/>
      <c r="G13" s="121"/>
      <c r="H13" s="121"/>
    </row>
    <row r="14" spans="1:8" x14ac:dyDescent="0.15">
      <c r="A14" s="22" t="s">
        <v>9</v>
      </c>
      <c r="B14" s="23"/>
      <c r="C14" s="24"/>
      <c r="D14" s="116" t="s">
        <v>32</v>
      </c>
      <c r="E14" s="116"/>
      <c r="F14" s="116"/>
      <c r="G14" s="116"/>
      <c r="H14" s="116"/>
    </row>
    <row r="15" spans="1:8" x14ac:dyDescent="0.15">
      <c r="A15" s="25" t="s">
        <v>10</v>
      </c>
      <c r="B15" s="26"/>
      <c r="C15" s="27"/>
      <c r="D15" s="119" t="s">
        <v>33</v>
      </c>
      <c r="E15" s="119"/>
      <c r="F15" s="119"/>
      <c r="G15" s="119"/>
      <c r="H15" s="119"/>
    </row>
    <row r="16" spans="1:8" x14ac:dyDescent="0.15">
      <c r="A16" s="28" t="s">
        <v>11</v>
      </c>
      <c r="B16" s="29"/>
      <c r="C16" s="30"/>
      <c r="D16" s="113" t="s">
        <v>34</v>
      </c>
      <c r="E16" s="113"/>
      <c r="F16" s="113"/>
      <c r="G16" s="113"/>
      <c r="H16" s="113"/>
    </row>
    <row r="17" spans="1:8" ht="18" customHeight="1" x14ac:dyDescent="0.15">
      <c r="A17" s="109" t="s">
        <v>12</v>
      </c>
      <c r="B17" s="109"/>
      <c r="C17" s="109"/>
      <c r="D17" s="109"/>
      <c r="E17" s="109"/>
      <c r="F17" s="109"/>
      <c r="G17" s="109"/>
      <c r="H17" s="109"/>
    </row>
    <row r="18" spans="1:8" x14ac:dyDescent="0.15">
      <c r="A18" s="19" t="s">
        <v>5</v>
      </c>
      <c r="B18" s="20"/>
      <c r="C18" s="21"/>
      <c r="D18" s="127" t="s">
        <v>52</v>
      </c>
      <c r="E18" s="120"/>
      <c r="F18" s="120"/>
      <c r="G18" s="120"/>
      <c r="H18" s="120"/>
    </row>
    <row r="19" spans="1:8" x14ac:dyDescent="0.15">
      <c r="A19" s="22" t="s">
        <v>6</v>
      </c>
      <c r="B19" s="23"/>
      <c r="C19" s="24"/>
      <c r="D19" s="114" t="s">
        <v>55</v>
      </c>
      <c r="E19" s="115"/>
      <c r="F19" s="115"/>
      <c r="G19" s="115"/>
      <c r="H19" s="115"/>
    </row>
    <row r="20" spans="1:8" x14ac:dyDescent="0.15">
      <c r="A20" s="22" t="s">
        <v>7</v>
      </c>
      <c r="B20" s="23"/>
      <c r="C20" s="24"/>
      <c r="D20" s="130">
        <v>103370830118</v>
      </c>
      <c r="E20" s="129"/>
      <c r="F20" s="129"/>
      <c r="G20" s="129"/>
      <c r="H20" s="129"/>
    </row>
    <row r="21" spans="1:8" x14ac:dyDescent="0.15">
      <c r="A21" s="22" t="s">
        <v>8</v>
      </c>
      <c r="B21" s="23"/>
      <c r="C21" s="24"/>
      <c r="D21" s="117" t="s">
        <v>53</v>
      </c>
      <c r="E21" s="116"/>
      <c r="F21" s="116"/>
      <c r="G21" s="116"/>
      <c r="H21" s="116"/>
    </row>
    <row r="22" spans="1:8" x14ac:dyDescent="0.15">
      <c r="A22" s="22" t="s">
        <v>9</v>
      </c>
      <c r="B22" s="23"/>
      <c r="C22" s="24"/>
      <c r="D22" s="117" t="s">
        <v>54</v>
      </c>
      <c r="E22" s="116"/>
      <c r="F22" s="116"/>
      <c r="G22" s="116"/>
      <c r="H22" s="116"/>
    </row>
    <row r="23" spans="1:8" x14ac:dyDescent="0.15">
      <c r="A23" s="25" t="s">
        <v>10</v>
      </c>
      <c r="B23" s="26"/>
      <c r="C23" s="27"/>
      <c r="D23" s="118" t="s">
        <v>56</v>
      </c>
      <c r="E23" s="119"/>
      <c r="F23" s="119"/>
      <c r="G23" s="119"/>
      <c r="H23" s="119"/>
    </row>
    <row r="24" spans="1:8" x14ac:dyDescent="0.15">
      <c r="A24" s="28" t="s">
        <v>11</v>
      </c>
      <c r="B24" s="29"/>
      <c r="C24" s="30"/>
      <c r="D24" s="112" t="s">
        <v>57</v>
      </c>
      <c r="E24" s="113"/>
      <c r="F24" s="113"/>
      <c r="G24" s="113"/>
      <c r="H24" s="113"/>
    </row>
    <row r="25" spans="1:8" ht="18" customHeight="1" x14ac:dyDescent="0.15">
      <c r="A25" s="109" t="s">
        <v>13</v>
      </c>
      <c r="B25" s="109"/>
      <c r="C25" s="109"/>
      <c r="D25" s="109"/>
      <c r="E25" s="109"/>
      <c r="F25" s="109"/>
      <c r="G25" s="109"/>
      <c r="H25" s="109"/>
    </row>
    <row r="26" spans="1:8" x14ac:dyDescent="0.15">
      <c r="A26" s="19" t="s">
        <v>5</v>
      </c>
      <c r="B26" s="20"/>
      <c r="C26" s="21"/>
      <c r="D26" s="110" t="s">
        <v>35</v>
      </c>
      <c r="E26" s="110"/>
      <c r="F26" s="110"/>
      <c r="G26" s="110"/>
      <c r="H26" s="110"/>
    </row>
    <row r="27" spans="1:8" ht="13" customHeight="1" x14ac:dyDescent="0.15">
      <c r="A27" s="22" t="s">
        <v>8</v>
      </c>
      <c r="B27" s="23"/>
      <c r="C27" s="24"/>
      <c r="D27" s="111" t="s">
        <v>36</v>
      </c>
      <c r="E27" s="111"/>
      <c r="F27" s="111"/>
      <c r="G27" s="111"/>
      <c r="H27" s="111"/>
    </row>
    <row r="28" spans="1:8" x14ac:dyDescent="0.15">
      <c r="A28" s="22" t="s">
        <v>6</v>
      </c>
      <c r="B28" s="23"/>
      <c r="C28" s="24"/>
      <c r="D28" s="104" t="s">
        <v>37</v>
      </c>
      <c r="E28" s="104"/>
      <c r="F28" s="104"/>
      <c r="G28" s="104"/>
      <c r="H28" s="104"/>
    </row>
    <row r="29" spans="1:8" x14ac:dyDescent="0.15">
      <c r="A29" s="22" t="s">
        <v>7</v>
      </c>
      <c r="B29" s="23"/>
      <c r="C29" s="24"/>
      <c r="D29" s="105" t="s">
        <v>38</v>
      </c>
      <c r="E29" s="105"/>
      <c r="F29" s="105"/>
      <c r="G29" s="105"/>
      <c r="H29" s="105"/>
    </row>
    <row r="30" spans="1:8" x14ac:dyDescent="0.15">
      <c r="A30" s="31" t="s">
        <v>9</v>
      </c>
      <c r="B30" s="32"/>
      <c r="C30" s="33"/>
      <c r="D30" s="108" t="s">
        <v>39</v>
      </c>
      <c r="E30" s="108"/>
      <c r="F30" s="108"/>
      <c r="G30" s="108"/>
      <c r="H30" s="108"/>
    </row>
    <row r="31" spans="1:8" ht="18" customHeight="1" x14ac:dyDescent="0.15">
      <c r="A31" s="109" t="s">
        <v>14</v>
      </c>
      <c r="B31" s="109"/>
      <c r="C31" s="109"/>
      <c r="D31" s="109"/>
      <c r="E31" s="109"/>
      <c r="F31" s="109"/>
      <c r="G31" s="109"/>
      <c r="H31" s="109"/>
    </row>
    <row r="32" spans="1:8" x14ac:dyDescent="0.15">
      <c r="A32" s="34" t="s">
        <v>5</v>
      </c>
      <c r="B32" s="35"/>
      <c r="C32" s="36"/>
      <c r="D32" s="110" t="s">
        <v>35</v>
      </c>
      <c r="E32" s="110"/>
      <c r="F32" s="110"/>
      <c r="G32" s="110"/>
      <c r="H32" s="110"/>
    </row>
    <row r="33" spans="1:256" ht="13" customHeight="1" x14ac:dyDescent="0.15">
      <c r="A33" s="22" t="s">
        <v>8</v>
      </c>
      <c r="B33" s="23"/>
      <c r="C33" s="24"/>
      <c r="D33" s="111" t="s">
        <v>40</v>
      </c>
      <c r="E33" s="111"/>
      <c r="F33" s="111"/>
      <c r="G33" s="111"/>
      <c r="H33" s="111"/>
    </row>
    <row r="34" spans="1:256" x14ac:dyDescent="0.15">
      <c r="A34" s="22" t="s">
        <v>6</v>
      </c>
      <c r="B34" s="23"/>
      <c r="C34" s="24"/>
      <c r="D34" s="104" t="s">
        <v>37</v>
      </c>
      <c r="E34" s="104"/>
      <c r="F34" s="104"/>
      <c r="G34" s="104"/>
      <c r="H34" s="104"/>
    </row>
    <row r="35" spans="1:256" x14ac:dyDescent="0.15">
      <c r="A35" s="22" t="s">
        <v>7</v>
      </c>
      <c r="B35" s="23"/>
      <c r="C35" s="24"/>
      <c r="D35" s="105" t="s">
        <v>38</v>
      </c>
      <c r="E35" s="105"/>
      <c r="F35" s="105"/>
      <c r="G35" s="105"/>
      <c r="H35" s="105"/>
    </row>
    <row r="36" spans="1:256" x14ac:dyDescent="0.15">
      <c r="A36" s="25" t="s">
        <v>9</v>
      </c>
      <c r="B36" s="26"/>
      <c r="C36" s="27"/>
      <c r="D36" s="106" t="s">
        <v>41</v>
      </c>
      <c r="E36" s="106"/>
      <c r="F36" s="106"/>
      <c r="G36" s="106"/>
      <c r="H36" s="106"/>
    </row>
    <row r="37" spans="1:256" ht="30" customHeight="1" x14ac:dyDescent="0.15">
      <c r="A37" s="78" t="s">
        <v>15</v>
      </c>
      <c r="B37" s="79" t="s">
        <v>16</v>
      </c>
      <c r="C37" s="80" t="s">
        <v>17</v>
      </c>
      <c r="D37" s="107" t="s">
        <v>18</v>
      </c>
      <c r="E37" s="107"/>
      <c r="F37" s="79" t="s">
        <v>19</v>
      </c>
      <c r="G37" s="79" t="s">
        <v>20</v>
      </c>
      <c r="H37" s="79" t="s">
        <v>21</v>
      </c>
    </row>
    <row r="38" spans="1:256" ht="24.5" customHeight="1" thickBot="1" x14ac:dyDescent="0.2">
      <c r="A38" s="81" t="s">
        <v>51</v>
      </c>
      <c r="B38" s="82">
        <v>30</v>
      </c>
      <c r="C38" s="83" t="s">
        <v>50</v>
      </c>
      <c r="D38" s="103" t="s">
        <v>49</v>
      </c>
      <c r="E38" s="103"/>
      <c r="F38" s="84">
        <v>50.92</v>
      </c>
      <c r="G38" s="85"/>
      <c r="H38" s="128">
        <f>F38*B38</f>
        <v>1527.6000000000001</v>
      </c>
    </row>
    <row r="39" spans="1:256" ht="15" customHeight="1" x14ac:dyDescent="0.15">
      <c r="A39" s="38"/>
      <c r="B39" s="37"/>
      <c r="C39" s="37"/>
      <c r="D39" s="102"/>
      <c r="E39" s="102"/>
      <c r="F39" s="39"/>
      <c r="G39" s="37"/>
      <c r="H39" s="73"/>
      <c r="I39" s="40"/>
      <c r="J39" s="41"/>
      <c r="K39" s="42"/>
      <c r="L39" s="101"/>
      <c r="M39" s="101"/>
      <c r="N39" s="43"/>
      <c r="O39" s="44"/>
      <c r="P39" s="45"/>
      <c r="Q39" s="40"/>
      <c r="R39" s="41"/>
      <c r="S39" s="42"/>
      <c r="T39" s="101"/>
      <c r="U39" s="101"/>
      <c r="V39" s="43"/>
      <c r="W39" s="44"/>
      <c r="X39" s="45"/>
      <c r="Y39" s="40"/>
      <c r="Z39" s="41"/>
      <c r="AA39" s="42"/>
      <c r="AB39" s="101"/>
      <c r="AC39" s="101"/>
      <c r="AD39" s="43"/>
      <c r="AE39" s="44"/>
      <c r="AF39" s="45"/>
      <c r="AG39" s="40"/>
      <c r="AH39" s="41"/>
      <c r="AI39" s="42"/>
      <c r="AJ39" s="101"/>
      <c r="AK39" s="101"/>
      <c r="AL39" s="43"/>
      <c r="AM39" s="44"/>
      <c r="AN39" s="45"/>
      <c r="AO39" s="40"/>
      <c r="AP39" s="41"/>
      <c r="AQ39" s="42"/>
      <c r="AR39" s="101"/>
      <c r="AS39" s="101"/>
      <c r="AT39" s="43"/>
      <c r="AU39" s="44"/>
      <c r="AV39" s="45"/>
      <c r="AW39" s="40"/>
      <c r="AX39" s="41"/>
      <c r="AY39" s="42"/>
      <c r="AZ39" s="101"/>
      <c r="BA39" s="101"/>
      <c r="BB39" s="43"/>
      <c r="BC39" s="44"/>
      <c r="BD39" s="45"/>
      <c r="BE39" s="40"/>
      <c r="BF39" s="41"/>
      <c r="BG39" s="42"/>
      <c r="BH39" s="101"/>
      <c r="BI39" s="101"/>
      <c r="BJ39" s="43"/>
      <c r="BK39" s="44"/>
      <c r="BL39" s="45"/>
      <c r="BM39" s="40"/>
      <c r="BN39" s="41"/>
      <c r="BO39" s="42"/>
      <c r="BP39" s="101"/>
      <c r="BQ39" s="101"/>
      <c r="BR39" s="43"/>
      <c r="BS39" s="44"/>
      <c r="BT39" s="45"/>
      <c r="BU39" s="40"/>
      <c r="BV39" s="41"/>
      <c r="BW39" s="42"/>
      <c r="BX39" s="101"/>
      <c r="BY39" s="101"/>
      <c r="BZ39" s="43"/>
      <c r="CA39" s="44"/>
      <c r="CB39" s="45"/>
      <c r="CC39" s="40"/>
      <c r="CD39" s="41"/>
      <c r="CE39" s="42"/>
      <c r="CF39" s="101"/>
      <c r="CG39" s="101"/>
      <c r="CH39" s="43"/>
      <c r="CI39" s="44"/>
      <c r="CJ39" s="45"/>
      <c r="CK39" s="40"/>
      <c r="CL39" s="41"/>
      <c r="CM39" s="42"/>
      <c r="CN39" s="101"/>
      <c r="CO39" s="101"/>
      <c r="CP39" s="43"/>
      <c r="CQ39" s="44"/>
      <c r="CR39" s="45"/>
      <c r="CS39" s="40"/>
      <c r="CT39" s="41"/>
      <c r="CU39" s="42"/>
      <c r="CV39" s="101"/>
      <c r="CW39" s="101"/>
      <c r="CX39" s="43"/>
      <c r="CY39" s="44"/>
      <c r="CZ39" s="45"/>
      <c r="DA39" s="40"/>
      <c r="DB39" s="41"/>
      <c r="DC39" s="42"/>
      <c r="DD39" s="101"/>
      <c r="DE39" s="101"/>
      <c r="DF39" s="43"/>
      <c r="DG39" s="44"/>
      <c r="DH39" s="45"/>
      <c r="DI39" s="40"/>
      <c r="DJ39" s="41"/>
      <c r="DK39" s="42"/>
      <c r="DL39" s="101"/>
      <c r="DM39" s="101"/>
      <c r="DN39" s="43"/>
      <c r="DO39" s="44"/>
      <c r="DP39" s="45"/>
      <c r="DQ39" s="40"/>
      <c r="DR39" s="41"/>
      <c r="DS39" s="42"/>
      <c r="DT39" s="101"/>
      <c r="DU39" s="101"/>
      <c r="DV39" s="43"/>
      <c r="DW39" s="44"/>
      <c r="DX39" s="45"/>
      <c r="DY39" s="40"/>
      <c r="DZ39" s="41"/>
      <c r="EA39" s="42"/>
      <c r="EB39" s="101"/>
      <c r="EC39" s="101"/>
      <c r="ED39" s="43"/>
      <c r="EE39" s="44"/>
      <c r="EF39" s="45"/>
      <c r="EG39" s="40"/>
      <c r="EH39" s="41"/>
      <c r="EI39" s="42"/>
      <c r="EJ39" s="101"/>
      <c r="EK39" s="101"/>
      <c r="EL39" s="43"/>
      <c r="EM39" s="44"/>
      <c r="EN39" s="45"/>
      <c r="EO39" s="40"/>
      <c r="EP39" s="41"/>
      <c r="EQ39" s="42"/>
      <c r="ER39" s="101"/>
      <c r="ES39" s="101"/>
      <c r="ET39" s="43"/>
      <c r="EU39" s="44"/>
      <c r="EV39" s="45"/>
      <c r="EW39" s="40"/>
      <c r="EX39" s="41"/>
      <c r="EY39" s="42"/>
      <c r="EZ39" s="101"/>
      <c r="FA39" s="101"/>
      <c r="FB39" s="43"/>
      <c r="FC39" s="44"/>
      <c r="FD39" s="45"/>
      <c r="FE39" s="40"/>
      <c r="FF39" s="41"/>
      <c r="FG39" s="42"/>
      <c r="FH39" s="101"/>
      <c r="FI39" s="101"/>
      <c r="FJ39" s="43"/>
      <c r="FK39" s="44"/>
      <c r="FL39" s="45"/>
      <c r="FM39" s="40"/>
      <c r="FN39" s="41"/>
      <c r="FO39" s="42"/>
      <c r="FP39" s="101"/>
      <c r="FQ39" s="101"/>
      <c r="FR39" s="43"/>
      <c r="FS39" s="44"/>
      <c r="FT39" s="45"/>
      <c r="FU39" s="40"/>
      <c r="FV39" s="41"/>
      <c r="FW39" s="42"/>
      <c r="FX39" s="101"/>
      <c r="FY39" s="101"/>
      <c r="FZ39" s="43"/>
      <c r="GA39" s="44"/>
      <c r="GB39" s="45"/>
      <c r="GC39" s="40"/>
      <c r="GD39" s="41"/>
      <c r="GE39" s="42"/>
      <c r="GF39" s="101"/>
      <c r="GG39" s="101"/>
      <c r="GH39" s="43"/>
      <c r="GI39" s="44"/>
      <c r="GJ39" s="45"/>
      <c r="GK39" s="40"/>
      <c r="GL39" s="41"/>
      <c r="GM39" s="42"/>
      <c r="GN39" s="101"/>
      <c r="GO39" s="101"/>
      <c r="GP39" s="43"/>
      <c r="GQ39" s="44"/>
      <c r="GR39" s="45"/>
      <c r="GS39" s="40"/>
      <c r="GT39" s="41"/>
      <c r="GU39" s="42"/>
      <c r="GV39" s="101"/>
      <c r="GW39" s="101"/>
      <c r="GX39" s="43"/>
      <c r="GY39" s="44"/>
      <c r="GZ39" s="45"/>
      <c r="HA39" s="40"/>
      <c r="HB39" s="41"/>
      <c r="HC39" s="42"/>
      <c r="HD39" s="101"/>
      <c r="HE39" s="101"/>
      <c r="HF39" s="43"/>
      <c r="HG39" s="44"/>
      <c r="HH39" s="45"/>
      <c r="HI39" s="40"/>
      <c r="HJ39" s="41"/>
      <c r="HK39" s="42"/>
      <c r="HL39" s="101"/>
      <c r="HM39" s="101"/>
      <c r="HN39" s="43"/>
      <c r="HO39" s="44"/>
      <c r="HP39" s="45"/>
      <c r="HQ39" s="40"/>
      <c r="HR39" s="41"/>
      <c r="HS39" s="42"/>
      <c r="HT39" s="101"/>
      <c r="HU39" s="101"/>
      <c r="HV39" s="43"/>
      <c r="HW39" s="44"/>
      <c r="HX39" s="45"/>
      <c r="HY39" s="40"/>
      <c r="HZ39" s="41"/>
      <c r="IA39" s="42"/>
      <c r="IB39" s="101"/>
      <c r="IC39" s="101"/>
      <c r="ID39" s="43"/>
      <c r="IE39" s="44"/>
      <c r="IF39" s="45"/>
      <c r="IG39" s="40"/>
      <c r="IH39" s="41"/>
      <c r="II39" s="42"/>
      <c r="IJ39" s="101"/>
      <c r="IK39" s="101"/>
      <c r="IL39" s="43"/>
      <c r="IM39" s="44"/>
      <c r="IN39" s="45"/>
      <c r="IO39" s="40"/>
      <c r="IP39" s="41"/>
      <c r="IQ39" s="42"/>
      <c r="IR39" s="101"/>
      <c r="IS39" s="101"/>
      <c r="IT39" s="43"/>
      <c r="IU39" s="44"/>
      <c r="IV39" s="45"/>
    </row>
    <row r="40" spans="1:256" x14ac:dyDescent="0.15">
      <c r="A40" s="92"/>
      <c r="B40" s="93"/>
      <c r="C40" s="93"/>
      <c r="D40" s="93"/>
      <c r="E40" s="94"/>
      <c r="F40" s="86" t="s">
        <v>42</v>
      </c>
      <c r="G40" s="86"/>
      <c r="H40" s="74">
        <f>SUM(H38:H38)</f>
        <v>1527.6000000000001</v>
      </c>
    </row>
    <row r="41" spans="1:256" x14ac:dyDescent="0.15">
      <c r="A41" s="95"/>
      <c r="B41" s="96"/>
      <c r="C41" s="96"/>
      <c r="D41" s="96"/>
      <c r="E41" s="97"/>
      <c r="F41" s="86" t="s">
        <v>43</v>
      </c>
      <c r="G41" s="86"/>
      <c r="H41" s="74">
        <v>0</v>
      </c>
    </row>
    <row r="42" spans="1:256" x14ac:dyDescent="0.15">
      <c r="A42" s="98"/>
      <c r="B42" s="99"/>
      <c r="C42" s="99"/>
      <c r="D42" s="99"/>
      <c r="E42" s="100"/>
      <c r="F42" s="86" t="s">
        <v>44</v>
      </c>
      <c r="G42" s="86"/>
      <c r="H42" s="74">
        <f>H40+H41</f>
        <v>1527.6000000000001</v>
      </c>
    </row>
    <row r="43" spans="1:256" ht="9" customHeight="1" x14ac:dyDescent="0.15">
      <c r="A43" s="46"/>
      <c r="B43" s="47"/>
      <c r="C43" s="47"/>
      <c r="D43" s="48"/>
      <c r="E43" s="48"/>
      <c r="F43" s="49"/>
      <c r="G43" s="49"/>
      <c r="H43" s="50"/>
    </row>
    <row r="44" spans="1:256" x14ac:dyDescent="0.15">
      <c r="A44" s="51" t="s">
        <v>22</v>
      </c>
      <c r="B44" s="52"/>
      <c r="C44" s="87" t="s">
        <v>45</v>
      </c>
      <c r="D44" s="87"/>
      <c r="E44" s="53"/>
      <c r="F44" s="51" t="s">
        <v>23</v>
      </c>
      <c r="G44" s="54"/>
      <c r="H44" s="55" t="s">
        <v>46</v>
      </c>
    </row>
    <row r="45" spans="1:256" x14ac:dyDescent="0.15">
      <c r="A45" s="56" t="s">
        <v>47</v>
      </c>
      <c r="B45" s="57"/>
      <c r="C45" s="75"/>
      <c r="D45" s="75"/>
      <c r="E45" s="75"/>
      <c r="F45" s="76"/>
      <c r="G45" s="76"/>
      <c r="H45" s="77"/>
    </row>
    <row r="46" spans="1:256" ht="19.5" customHeight="1" x14ac:dyDescent="0.15">
      <c r="A46" s="133" t="s">
        <v>58</v>
      </c>
      <c r="B46" s="132"/>
      <c r="C46" s="63"/>
      <c r="D46" s="63"/>
      <c r="E46" s="63"/>
      <c r="F46" s="64"/>
      <c r="G46" s="64"/>
      <c r="H46" s="65"/>
    </row>
    <row r="47" spans="1:256" ht="19.5" customHeight="1" x14ac:dyDescent="0.15">
      <c r="A47" s="61" t="s">
        <v>48</v>
      </c>
      <c r="B47" s="62"/>
      <c r="C47" s="63"/>
      <c r="D47" s="63"/>
      <c r="E47" s="63"/>
      <c r="F47" s="64"/>
      <c r="G47" s="64"/>
      <c r="H47" s="65"/>
    </row>
    <row r="48" spans="1:256" x14ac:dyDescent="0.15">
      <c r="A48" s="89"/>
      <c r="B48" s="90"/>
      <c r="C48" s="90"/>
      <c r="D48" s="90"/>
      <c r="E48" s="90"/>
      <c r="F48" s="90"/>
      <c r="G48" s="90"/>
      <c r="H48" s="91"/>
    </row>
    <row r="49" spans="1:8" x14ac:dyDescent="0.15">
      <c r="A49" s="89"/>
      <c r="B49" s="90"/>
      <c r="C49" s="90"/>
      <c r="D49" s="90"/>
      <c r="E49" s="90"/>
      <c r="F49" s="90"/>
      <c r="G49" s="90"/>
      <c r="H49" s="91"/>
    </row>
    <row r="50" spans="1:8" x14ac:dyDescent="0.15">
      <c r="A50" s="56"/>
      <c r="B50" s="57"/>
      <c r="C50" s="58"/>
      <c r="D50" s="58"/>
      <c r="E50" s="58"/>
      <c r="F50" s="59"/>
      <c r="G50" s="59"/>
      <c r="H50" s="60"/>
    </row>
    <row r="51" spans="1:8" ht="15.75" customHeight="1" x14ac:dyDescent="0.15">
      <c r="A51" s="88" t="s">
        <v>24</v>
      </c>
      <c r="B51" s="88"/>
      <c r="C51" s="88"/>
      <c r="D51" s="88"/>
      <c r="E51" s="88"/>
      <c r="F51" s="88"/>
      <c r="G51" s="88"/>
      <c r="H51" s="88"/>
    </row>
    <row r="52" spans="1:8" ht="42.75" customHeight="1" x14ac:dyDescent="0.15">
      <c r="A52" s="66" t="s">
        <v>25</v>
      </c>
      <c r="B52" s="67"/>
      <c r="C52" s="68"/>
      <c r="D52" s="69"/>
      <c r="E52" s="70" t="s">
        <v>3</v>
      </c>
      <c r="F52" s="71"/>
      <c r="G52" s="71"/>
      <c r="H52" s="72"/>
    </row>
  </sheetData>
  <mergeCells count="76">
    <mergeCell ref="D1:E6"/>
    <mergeCell ref="G1:H2"/>
    <mergeCell ref="G3:H4"/>
    <mergeCell ref="G5:H6"/>
    <mergeCell ref="A8:H8"/>
    <mergeCell ref="B7:C7"/>
    <mergeCell ref="A9:H9"/>
    <mergeCell ref="D10:H10"/>
    <mergeCell ref="D11:H11"/>
    <mergeCell ref="D12:H12"/>
    <mergeCell ref="D13:H13"/>
    <mergeCell ref="D14:H14"/>
    <mergeCell ref="D15:H15"/>
    <mergeCell ref="D16:H16"/>
    <mergeCell ref="A17:H17"/>
    <mergeCell ref="D18:H18"/>
    <mergeCell ref="D19:H19"/>
    <mergeCell ref="D20:H20"/>
    <mergeCell ref="D21:H21"/>
    <mergeCell ref="D22:H22"/>
    <mergeCell ref="D23:H23"/>
    <mergeCell ref="D24:H24"/>
    <mergeCell ref="A25:H25"/>
    <mergeCell ref="D26:H26"/>
    <mergeCell ref="D27:H27"/>
    <mergeCell ref="D28:H28"/>
    <mergeCell ref="D29:H29"/>
    <mergeCell ref="D30:H30"/>
    <mergeCell ref="A31:H31"/>
    <mergeCell ref="D32:H32"/>
    <mergeCell ref="D33:H33"/>
    <mergeCell ref="D34:H34"/>
    <mergeCell ref="D35:H35"/>
    <mergeCell ref="D36:H36"/>
    <mergeCell ref="D37:E37"/>
    <mergeCell ref="D38:E38"/>
    <mergeCell ref="D39:E39"/>
    <mergeCell ref="L39:M39"/>
    <mergeCell ref="T39:U39"/>
    <mergeCell ref="AB39:AC39"/>
    <mergeCell ref="AJ39:AK39"/>
    <mergeCell ref="AR39:AS39"/>
    <mergeCell ref="AZ39:BA39"/>
    <mergeCell ref="BH39:BI39"/>
    <mergeCell ref="BP39:BQ39"/>
    <mergeCell ref="BX39:BY39"/>
    <mergeCell ref="CF39:CG39"/>
    <mergeCell ref="CN39:CO39"/>
    <mergeCell ref="CV39:CW39"/>
    <mergeCell ref="DD39:DE39"/>
    <mergeCell ref="DL39:DM39"/>
    <mergeCell ref="DT39:DU39"/>
    <mergeCell ref="EB39:EC39"/>
    <mergeCell ref="EJ39:EK39"/>
    <mergeCell ref="ER39:ES39"/>
    <mergeCell ref="EZ39:FA39"/>
    <mergeCell ref="FH39:FI39"/>
    <mergeCell ref="FP39:FQ39"/>
    <mergeCell ref="FX39:FY39"/>
    <mergeCell ref="GF39:GG39"/>
    <mergeCell ref="GN39:GO39"/>
    <mergeCell ref="GV39:GW39"/>
    <mergeCell ref="HD39:HE39"/>
    <mergeCell ref="HL39:HM39"/>
    <mergeCell ref="HT39:HU39"/>
    <mergeCell ref="IB39:IC39"/>
    <mergeCell ref="IJ39:IK39"/>
    <mergeCell ref="IR39:IS39"/>
    <mergeCell ref="F40:G40"/>
    <mergeCell ref="F41:G41"/>
    <mergeCell ref="F42:G42"/>
    <mergeCell ref="C44:D44"/>
    <mergeCell ref="A51:H51"/>
    <mergeCell ref="A48:H49"/>
    <mergeCell ref="A40:E42"/>
    <mergeCell ref="A46:B46"/>
  </mergeCells>
  <hyperlinks>
    <hyperlink ref="D23" r:id="rId1" display="paulo@a3eletro.com.br ;a3enviados@gmail.com" xr:uid="{89F09BD5-4517-1C44-9427-3FD48CD5C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2026-05-21T22:20:28Z</dcterms:created>
  <dcterms:modified xsi:type="dcterms:W3CDTF">2026-05-27T20:22:15Z</dcterms:modified>
</cp:coreProperties>
</file>