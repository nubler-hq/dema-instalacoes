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60" yWindow="760" windowWidth="38180" windowHeight="40700" tabRatio="600" firstSheet="0" activeTab="0" autoFilterDateGrouping="1"/>
  </bookViews>
  <sheets>
    <sheet name="Baume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3">
    <numFmt numFmtId="164" formatCode="_(* #,##0.00_);_(* \(#,##0.00\);_(* \-??_);_(@_)"/>
    <numFmt numFmtId="165" formatCode="m/d/yy"/>
    <numFmt numFmtId="166" formatCode="&quot;R$&quot;\ #,##0.00"/>
  </numFmts>
  <fonts count="17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sz val="14"/>
    </font>
    <font>
      <name val="Tahoma"/>
      <family val="2"/>
      <b val="1"/>
      <sz val="10"/>
    </font>
    <font>
      <name val="Tahoma"/>
      <family val="2"/>
      <b val="1"/>
      <color rgb="FFFF0000"/>
      <sz val="10"/>
    </font>
    <font>
      <name val="Tahoma"/>
      <family val="2"/>
      <b val="1"/>
      <sz val="16"/>
    </font>
    <font>
      <name val="Arial"/>
      <family val="2"/>
      <color rgb="FF33CCCC"/>
      <sz val="10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10"/>
    </font>
    <font>
      <name val="Tahoma"/>
      <family val="2"/>
      <b val="1"/>
      <color rgb="FF000000"/>
      <sz val="11"/>
    </font>
    <font>
      <name val="Tahoma"/>
      <family val="2"/>
      <b val="1"/>
      <sz val="11"/>
    </font>
    <font>
      <name val="Tahoma"/>
      <family val="2"/>
      <sz val="11"/>
    </font>
    <font>
      <name val="Tahoma"/>
      <family val="2"/>
      <color rgb="FFFF0000"/>
      <sz val="10"/>
    </font>
    <font>
      <name val="Arial"/>
      <family val="2"/>
      <color theme="10"/>
      <sz val="10"/>
      <u val="single"/>
    </font>
    <font>
      <name val="Tahoma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7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51"/>
    <xf numFmtId="43" fontId="3" fillId="0" borderId="51"/>
    <xf numFmtId="41" fontId="3" fillId="0" borderId="51"/>
    <xf numFmtId="44" fontId="3" fillId="0" borderId="51"/>
    <xf numFmtId="42" fontId="3" fillId="0" borderId="51"/>
    <xf numFmtId="9" fontId="3" fillId="0" borderId="51"/>
    <xf numFmtId="0" fontId="8" fillId="0" borderId="51"/>
    <xf numFmtId="0" fontId="15" fillId="0" borderId="51"/>
  </cellStyleXfs>
  <cellXfs count="169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2" borderId="6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10" applyAlignment="1" pivotButton="0" quotePrefix="0" xfId="0">
      <alignment vertical="center"/>
    </xf>
    <xf numFmtId="0" fontId="4" fillId="2" borderId="11" applyAlignment="1" pivotButton="0" quotePrefix="0" xfId="0">
      <alignment vertical="center"/>
    </xf>
    <xf numFmtId="0" fontId="5" fillId="0" borderId="12" applyAlignment="1" pivotButton="0" quotePrefix="0" xfId="0">
      <alignment horizontal="right" vertical="center"/>
    </xf>
    <xf numFmtId="49" fontId="5" fillId="0" borderId="13" applyAlignment="1" pivotButton="0" quotePrefix="0" xfId="0">
      <alignment horizontal="right" vertical="center"/>
    </xf>
    <xf numFmtId="49" fontId="6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left" vertical="center"/>
    </xf>
    <xf numFmtId="0" fontId="5" fillId="0" borderId="10" applyAlignment="1" pivotButton="0" quotePrefix="0" xfId="0">
      <alignment horizontal="right" vertical="center"/>
    </xf>
    <xf numFmtId="0" fontId="5" fillId="2" borderId="17" applyAlignment="1" pivotButton="0" quotePrefix="0" xfId="0">
      <alignment horizontal="left" vertical="center"/>
    </xf>
    <xf numFmtId="0" fontId="5" fillId="2" borderId="18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5" fillId="2" borderId="21" applyAlignment="1" pivotButton="0" quotePrefix="0" xfId="0">
      <alignment horizontal="left" vertical="center"/>
    </xf>
    <xf numFmtId="0" fontId="5" fillId="2" borderId="22" applyAlignment="1" pivotButton="0" quotePrefix="0" xfId="0">
      <alignment horizontal="left" vertical="center"/>
    </xf>
    <xf numFmtId="0" fontId="2" fillId="2" borderId="23" applyAlignment="1" pivotButton="0" quotePrefix="0" xfId="0">
      <alignment horizontal="left" vertical="center"/>
    </xf>
    <xf numFmtId="0" fontId="5" fillId="2" borderId="26" applyAlignment="1" pivotButton="0" quotePrefix="0" xfId="0">
      <alignment horizontal="left" vertical="center"/>
    </xf>
    <xf numFmtId="0" fontId="5" fillId="2" borderId="27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left" vertical="center"/>
    </xf>
    <xf numFmtId="0" fontId="2" fillId="2" borderId="31" applyAlignment="1" pivotButton="0" quotePrefix="0" xfId="0">
      <alignment horizontal="left" vertical="center"/>
    </xf>
    <xf numFmtId="0" fontId="5" fillId="2" borderId="33" applyAlignment="1" pivotButton="0" quotePrefix="0" xfId="0">
      <alignment horizontal="left" vertical="center"/>
    </xf>
    <xf numFmtId="0" fontId="5" fillId="2" borderId="34" applyAlignment="1" pivotButton="0" quotePrefix="0" xfId="0">
      <alignment horizontal="left" vertical="center"/>
    </xf>
    <xf numFmtId="0" fontId="2" fillId="2" borderId="35" applyAlignment="1" pivotButton="0" quotePrefix="0" xfId="0">
      <alignment horizontal="left" vertical="center"/>
    </xf>
    <xf numFmtId="0" fontId="5" fillId="2" borderId="37" applyAlignment="1" pivotButton="0" quotePrefix="0" xfId="0">
      <alignment horizontal="left" vertical="center"/>
    </xf>
    <xf numFmtId="0" fontId="5" fillId="2" borderId="38" applyAlignment="1" pivotButton="0" quotePrefix="0" xfId="0">
      <alignment horizontal="left" vertical="center"/>
    </xf>
    <xf numFmtId="0" fontId="2" fillId="2" borderId="39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left" vertical="center"/>
    </xf>
    <xf numFmtId="164" fontId="2" fillId="0" borderId="14" applyAlignment="1" pivotButton="0" quotePrefix="0" xfId="0">
      <alignment horizontal="center" vertical="center"/>
    </xf>
    <xf numFmtId="2" fontId="5" fillId="2" borderId="45" applyAlignment="1" pivotButton="0" quotePrefix="0" xfId="0">
      <alignment horizontal="center" vertical="center"/>
    </xf>
    <xf numFmtId="0" fontId="10" fillId="0" borderId="42" applyAlignment="1" pivotButton="0" quotePrefix="0" xfId="0">
      <alignment vertical="center"/>
    </xf>
    <xf numFmtId="0" fontId="2" fillId="2" borderId="44" applyAlignment="1" pivotButton="0" quotePrefix="0" xfId="0">
      <alignment vertical="center"/>
    </xf>
    <xf numFmtId="0" fontId="2" fillId="2" borderId="43" applyAlignment="1" pivotButton="0" quotePrefix="0" xfId="0">
      <alignment vertical="center"/>
    </xf>
    <xf numFmtId="164" fontId="5" fillId="2" borderId="14" applyAlignment="1" pivotButton="0" quotePrefix="0" xfId="0">
      <alignment vertical="center"/>
    </xf>
    <xf numFmtId="165" fontId="6" fillId="2" borderId="45" applyAlignment="1" pivotButton="0" quotePrefix="0" xfId="0">
      <alignment horizontal="center" vertical="center"/>
    </xf>
    <xf numFmtId="0" fontId="5" fillId="2" borderId="5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center" vertical="center"/>
    </xf>
    <xf numFmtId="2" fontId="2" fillId="2" borderId="48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164" fontId="13" fillId="2" borderId="0" applyAlignment="1" pivotButton="0" quotePrefix="0" xfId="0">
      <alignment horizontal="center" vertical="center"/>
    </xf>
    <xf numFmtId="2" fontId="13" fillId="2" borderId="48" applyAlignment="1" pivotButton="0" quotePrefix="0" xfId="0">
      <alignment horizontal="center" vertical="center"/>
    </xf>
    <xf numFmtId="0" fontId="5" fillId="2" borderId="12" applyAlignment="1" pivotButton="0" quotePrefix="0" xfId="0">
      <alignment horizontal="left" vertical="center"/>
    </xf>
    <xf numFmtId="0" fontId="5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14" fillId="2" borderId="49" applyAlignment="1" pivotButton="0" quotePrefix="0" xfId="0">
      <alignment horizontal="left" vertical="center"/>
    </xf>
    <xf numFmtId="164" fontId="5" fillId="2" borderId="13" applyAlignment="1" pivotButton="0" quotePrefix="0" xfId="0">
      <alignment horizontal="left" vertical="center"/>
    </xf>
    <xf numFmtId="164" fontId="5" fillId="2" borderId="13" applyAlignment="1" pivotButton="0" quotePrefix="0" xfId="0">
      <alignment horizontal="center" vertical="center"/>
    </xf>
    <xf numFmtId="2" fontId="2" fillId="2" borderId="50" applyAlignment="1" pivotButton="0" quotePrefix="0" xfId="0">
      <alignment horizontal="center" vertical="center"/>
    </xf>
    <xf numFmtId="166" fontId="10" fillId="0" borderId="46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0">
      <alignment horizontal="center" vertical="center" wrapText="1"/>
    </xf>
    <xf numFmtId="2" fontId="2" fillId="2" borderId="48" applyAlignment="1" pivotButton="0" quotePrefix="0" xfId="0">
      <alignment horizontal="center" vertical="center" wrapText="1"/>
    </xf>
    <xf numFmtId="164" fontId="5" fillId="0" borderId="41" applyAlignment="1" pivotButton="0" quotePrefix="0" xfId="0">
      <alignment horizontal="left" vertical="center" wrapText="1"/>
    </xf>
    <xf numFmtId="164" fontId="5" fillId="0" borderId="41" applyAlignment="1" pivotButton="0" quotePrefix="0" xfId="0">
      <alignment horizontal="left" vertical="center"/>
    </xf>
    <xf numFmtId="0" fontId="5" fillId="0" borderId="4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3" borderId="15" applyAlignment="1" pivotButton="0" quotePrefix="0" xfId="0">
      <alignment horizontal="center" vertical="center"/>
    </xf>
    <xf numFmtId="49" fontId="6" fillId="0" borderId="13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3" fillId="0" borderId="20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0" pivotButton="0" quotePrefix="0" xfId="0"/>
    <xf numFmtId="0" fontId="8" fillId="0" borderId="25" pivotButton="0" quotePrefix="0" xfId="6"/>
    <xf numFmtId="0" fontId="3" fillId="0" borderId="32" pivotButton="0" quotePrefix="0" xfId="0"/>
    <xf numFmtId="0" fontId="1" fillId="0" borderId="20" pivotButton="0" quotePrefix="0" xfId="0"/>
    <xf numFmtId="0" fontId="1" fillId="0" borderId="24" pivotButton="0" quotePrefix="0" xfId="0"/>
    <xf numFmtId="3" fontId="1" fillId="0" borderId="25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1" fillId="0" borderId="25" pivotButton="0" quotePrefix="0" xfId="0"/>
    <xf numFmtId="0" fontId="15" fillId="0" borderId="25" pivotButton="0" quotePrefix="0" xfId="7"/>
    <xf numFmtId="0" fontId="1" fillId="0" borderId="32" pivotButton="0" quotePrefix="0" xfId="0"/>
    <xf numFmtId="0" fontId="2" fillId="2" borderId="24" applyAlignment="1" pivotButton="0" quotePrefix="0" xfId="0">
      <alignment horizontal="left" vertical="center"/>
    </xf>
    <xf numFmtId="0" fontId="2" fillId="2" borderId="25" applyAlignment="1" pivotButton="0" quotePrefix="0" xfId="0">
      <alignment horizontal="left" vertical="center" wrapText="1"/>
    </xf>
    <xf numFmtId="0" fontId="2" fillId="2" borderId="25" applyAlignment="1" pivotButton="0" quotePrefix="0" xfId="0">
      <alignment horizontal="left" vertical="center"/>
    </xf>
    <xf numFmtId="3" fontId="2" fillId="2" borderId="25" applyAlignment="1" pivotButton="0" quotePrefix="0" xfId="0">
      <alignment horizontal="left" vertical="center"/>
    </xf>
    <xf numFmtId="0" fontId="2" fillId="2" borderId="36" applyAlignment="1" pivotButton="0" quotePrefix="0" xfId="0">
      <alignment horizontal="left" vertical="center"/>
    </xf>
    <xf numFmtId="164" fontId="2" fillId="2" borderId="40" applyAlignment="1" pivotButton="0" quotePrefix="0" xfId="0">
      <alignment horizontal="left" vertical="center"/>
    </xf>
    <xf numFmtId="1" fontId="5" fillId="0" borderId="41" applyAlignment="1" pivotButton="0" quotePrefix="0" xfId="0">
      <alignment horizontal="left" vertical="center"/>
    </xf>
    <xf numFmtId="0" fontId="5" fillId="0" borderId="43" applyAlignment="1" pivotButton="0" quotePrefix="0" xfId="0">
      <alignment horizontal="center" vertical="center"/>
    </xf>
    <xf numFmtId="0" fontId="10" fillId="0" borderId="47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8" applyAlignment="1" pivotButton="0" quotePrefix="0" xfId="0">
      <alignment horizontal="center" vertical="center"/>
    </xf>
    <xf numFmtId="166" fontId="10" fillId="0" borderId="58" applyAlignment="1" pivotButton="0" quotePrefix="0" xfId="0">
      <alignment horizontal="center" vertical="center"/>
    </xf>
    <xf numFmtId="49" fontId="9" fillId="0" borderId="57" applyAlignment="1" pivotButton="0" quotePrefix="0" xfId="0">
      <alignment horizontal="left" vertical="center"/>
    </xf>
    <xf numFmtId="1" fontId="10" fillId="0" borderId="57" applyAlignment="1" pivotButton="0" quotePrefix="0" xfId="0">
      <alignment horizontal="left" vertical="center"/>
    </xf>
    <xf numFmtId="3" fontId="10" fillId="0" borderId="57" applyAlignment="1" pivotButton="0" quotePrefix="0" xfId="0">
      <alignment horizontal="left" vertical="center"/>
    </xf>
    <xf numFmtId="49" fontId="9" fillId="0" borderId="57" applyAlignment="1" pivotButton="0" quotePrefix="0" xfId="0">
      <alignment horizontal="left" vertical="center" wrapText="1"/>
    </xf>
    <xf numFmtId="166" fontId="10" fillId="0" borderId="57" applyAlignment="1" pivotButton="0" quotePrefix="0" xfId="0">
      <alignment horizontal="left" vertical="center"/>
    </xf>
    <xf numFmtId="9" fontId="10" fillId="0" borderId="57" applyAlignment="1" pivotButton="0" quotePrefix="0" xfId="0">
      <alignment horizontal="left" vertical="center"/>
    </xf>
    <xf numFmtId="166" fontId="10" fillId="0" borderId="57" applyAlignment="1" pivotButton="0" quotePrefix="0" xfId="0">
      <alignment horizontal="center" vertical="center"/>
    </xf>
    <xf numFmtId="0" fontId="5" fillId="2" borderId="52" applyAlignment="1" pivotButton="0" quotePrefix="0" xfId="0">
      <alignment horizontal="left" vertical="center"/>
    </xf>
    <xf numFmtId="0" fontId="5" fillId="2" borderId="51" applyAlignment="1" pivotButton="0" quotePrefix="0" xfId="0">
      <alignment horizontal="left" vertical="center"/>
    </xf>
    <xf numFmtId="0" fontId="5" fillId="2" borderId="52" applyAlignment="1" pivotButton="0" quotePrefix="0" xfId="0">
      <alignment vertical="center"/>
    </xf>
    <xf numFmtId="0" fontId="5" fillId="2" borderId="51" applyAlignment="1" pivotButton="0" quotePrefix="0" xfId="0">
      <alignment vertical="center"/>
    </xf>
    <xf numFmtId="0" fontId="0" fillId="0" borderId="1" pivotButton="0" quotePrefix="0" xfId="0"/>
    <xf numFmtId="0" fontId="0" fillId="0" borderId="5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55" pivotButton="0" quotePrefix="0" xfId="0"/>
    <xf numFmtId="0" fontId="0" fillId="0" borderId="13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18" pivotButton="0" quotePrefix="0" xfId="0"/>
    <xf numFmtId="0" fontId="0" fillId="0" borderId="22" pivotButton="0" quotePrefix="0" xfId="0"/>
    <xf numFmtId="0" fontId="3" fillId="0" borderId="51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27" pivotButton="0" quotePrefix="0" xfId="0"/>
    <xf numFmtId="0" fontId="0" fillId="0" borderId="63" pivotButton="0" quotePrefix="0" xfId="0"/>
    <xf numFmtId="49" fontId="9" fillId="0" borderId="69" applyAlignment="1" pivotButton="0" quotePrefix="0" xfId="0">
      <alignment horizontal="left" vertical="center"/>
    </xf>
    <xf numFmtId="1" fontId="10" fillId="0" borderId="70" applyAlignment="1" pivotButton="0" quotePrefix="0" xfId="0">
      <alignment horizontal="left" vertical="center"/>
    </xf>
    <xf numFmtId="3" fontId="10" fillId="0" borderId="70" applyAlignment="1" pivotButton="0" quotePrefix="0" xfId="0">
      <alignment horizontal="left" vertical="center"/>
    </xf>
    <xf numFmtId="49" fontId="9" fillId="0" borderId="71" applyAlignment="1" pivotButton="0" quotePrefix="0" xfId="0">
      <alignment horizontal="left" vertical="center" wrapText="1"/>
    </xf>
    <xf numFmtId="0" fontId="0" fillId="0" borderId="72" pivotButton="0" quotePrefix="0" xfId="0"/>
    <xf numFmtId="166" fontId="10" fillId="0" borderId="70" applyAlignment="1" pivotButton="0" quotePrefix="0" xfId="0">
      <alignment horizontal="left" vertical="center"/>
    </xf>
    <xf numFmtId="9" fontId="10" fillId="0" borderId="70" applyAlignment="1" pivotButton="0" quotePrefix="0" xfId="0">
      <alignment horizontal="left" vertical="center"/>
    </xf>
    <xf numFmtId="166" fontId="16" fillId="0" borderId="73" applyAlignment="1" pivotButton="0" quotePrefix="0" xfId="0">
      <alignment horizontal="left" vertical="center"/>
    </xf>
    <xf numFmtId="1" fontId="6" fillId="0" borderId="69" applyAlignment="1" pivotButton="0" quotePrefix="0" xfId="0">
      <alignment horizontal="center" vertical="center"/>
    </xf>
    <xf numFmtId="3" fontId="6" fillId="0" borderId="70" applyAlignment="1" pivotButton="0" quotePrefix="0" xfId="0">
      <alignment horizontal="center" vertical="center"/>
    </xf>
    <xf numFmtId="0" fontId="6" fillId="0" borderId="70" applyAlignment="1" pivotButton="0" quotePrefix="0" xfId="0">
      <alignment horizontal="left" vertical="center" wrapText="1"/>
    </xf>
    <xf numFmtId="0" fontId="0" fillId="0" borderId="74" pivotButton="0" quotePrefix="0" xfId="0"/>
    <xf numFmtId="4" fontId="6" fillId="0" borderId="70" applyAlignment="1" pivotButton="0" quotePrefix="0" xfId="0">
      <alignment horizontal="center" vertical="center"/>
    </xf>
    <xf numFmtId="166" fontId="2" fillId="0" borderId="73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0" fillId="0" borderId="75" pivotButton="0" quotePrefix="0" xfId="0"/>
    <xf numFmtId="0" fontId="0" fillId="0" borderId="1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6" pivotButton="0" quotePrefix="0" xfId="0"/>
    <xf numFmtId="0" fontId="2" fillId="2" borderId="51" applyAlignment="1" pivotButton="0" quotePrefix="0" xfId="0">
      <alignment horizontal="left" vertical="center" wrapText="1"/>
    </xf>
    <xf numFmtId="164" fontId="2" fillId="2" borderId="51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left" vertical="center"/>
    </xf>
    <xf numFmtId="0" fontId="12" fillId="2" borderId="51" applyAlignment="1" pivotButton="0" quotePrefix="0" xfId="0">
      <alignment horizontal="left" vertical="center"/>
    </xf>
    <xf numFmtId="0" fontId="13" fillId="2" borderId="51" applyAlignment="1" pivotButton="0" quotePrefix="0" xfId="0">
      <alignment horizontal="left" vertical="center"/>
    </xf>
    <xf numFmtId="164" fontId="13" fillId="2" borderId="51" applyAlignment="1" pivotButton="0" quotePrefix="0" xfId="0">
      <alignment horizontal="center" vertical="center"/>
    </xf>
    <xf numFmtId="0" fontId="5" fillId="2" borderId="76" applyAlignment="1" pivotButton="0" quotePrefix="0" xfId="0">
      <alignment horizontal="center" vertical="center"/>
    </xf>
    <xf numFmtId="0" fontId="0" fillId="0" borderId="48" pivotButton="0" quotePrefix="0" xfId="0"/>
    <xf numFmtId="0" fontId="2" fillId="2" borderId="51" applyAlignment="1" pivotButton="0" quotePrefix="0" xfId="0">
      <alignment horizontal="left" vertical="center"/>
    </xf>
    <xf numFmtId="164" fontId="2" fillId="2" borderId="51" applyAlignment="1" pivotButton="0" quotePrefix="0" xfId="0">
      <alignment horizontal="center" vertical="center"/>
    </xf>
    <xf numFmtId="0" fontId="2" fillId="2" borderId="52" applyAlignment="1" pivotButton="0" quotePrefix="0" xfId="0">
      <alignment horizontal="center" vertical="center"/>
    </xf>
  </cellXfs>
  <cellStyles count="8">
    <cellStyle name="Normal" xfId="0" builtinId="0"/>
    <cellStyle name="Comma" xfId="1"/>
    <cellStyle name="Comma [0]" xfId="2"/>
    <cellStyle name="Currency" xfId="3"/>
    <cellStyle name="Currency [0]" xfId="4"/>
    <cellStyle name="Percent" xfId="5"/>
    <cellStyle name="*unknown*" xfId="6"/>
    <cellStyle name="Hiperlink" xfId="7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114"/>
  <sheetViews>
    <sheetView tabSelected="1" zoomScale="200" zoomScaleNormal="200" workbookViewId="0">
      <selection activeCell="H7" sqref="H7"/>
    </sheetView>
  </sheetViews>
  <sheetFormatPr baseColWidth="10" defaultColWidth="0" defaultRowHeight="13"/>
  <cols>
    <col width="15.5" customWidth="1" style="108" min="1" max="1"/>
    <col width="7.83203125" customWidth="1" style="108" min="2" max="2"/>
    <col width="13.1640625" customWidth="1" style="108" min="3" max="3"/>
    <col width="34" customWidth="1" style="108" min="4" max="4"/>
    <col width="16.5" customWidth="1" style="108" min="5" max="5"/>
    <col width="11.5" customWidth="1" style="3" min="6" max="6"/>
    <col width="10" customWidth="1" style="3" min="7" max="7"/>
    <col width="18.83203125" customWidth="1" style="3" min="8" max="8"/>
    <col hidden="1" width="11" customWidth="1" style="4" min="9" max="257"/>
    <col hidden="1" width="11" customWidth="1" min="258" max="16384"/>
  </cols>
  <sheetData>
    <row r="1" ht="12.75" customHeight="1">
      <c r="A1" s="81" t="n"/>
      <c r="B1" s="5" t="n"/>
      <c r="C1" s="5" t="n"/>
      <c r="D1" s="71" t="inlineStr">
        <is>
          <t>PEDIDO DE COMPRA</t>
        </is>
      </c>
      <c r="E1" s="122" t="n"/>
      <c r="F1" s="6" t="n"/>
      <c r="G1" s="72" t="n"/>
      <c r="H1" s="123" t="n"/>
    </row>
    <row r="2" ht="12.75" customHeight="1">
      <c r="A2" s="7" t="n"/>
      <c r="B2" s="8" t="n"/>
      <c r="C2" s="8" t="n"/>
      <c r="D2" s="124" t="n"/>
      <c r="F2" s="9" t="n"/>
      <c r="G2" s="124" t="n"/>
    </row>
    <row r="3" ht="12.75" customHeight="1">
      <c r="A3" s="7" t="n"/>
      <c r="B3" s="8" t="n"/>
      <c r="C3" s="8" t="n"/>
      <c r="D3" s="124" t="n"/>
      <c r="F3" s="9" t="n"/>
      <c r="G3" s="73" t="n"/>
    </row>
    <row r="4" ht="12.75" customHeight="1">
      <c r="A4" s="7" t="n"/>
      <c r="B4" s="8" t="n"/>
      <c r="C4" s="8" t="n"/>
      <c r="D4" s="124" t="n"/>
      <c r="F4" s="9" t="n"/>
      <c r="G4" s="124" t="n"/>
    </row>
    <row r="5" ht="12.75" customHeight="1">
      <c r="A5" s="7" t="n"/>
      <c r="B5" s="8" t="n"/>
      <c r="C5" s="8" t="n"/>
      <c r="D5" s="124" t="n"/>
      <c r="F5" s="9" t="n"/>
      <c r="G5" s="74" t="n"/>
    </row>
    <row r="6" ht="12.75" customHeight="1">
      <c r="A6" s="10" t="n"/>
      <c r="B6" s="11" t="n"/>
      <c r="C6" s="11" t="n"/>
      <c r="D6" s="124" t="n"/>
      <c r="F6" s="12" t="n"/>
      <c r="G6" s="125" t="n"/>
      <c r="H6" s="126" t="n"/>
    </row>
    <row r="7" ht="27.75" customHeight="1" thickBot="1">
      <c r="A7" s="13" t="inlineStr">
        <is>
          <t>PEDIDO Nº:</t>
        </is>
      </c>
      <c r="B7" s="76" t="inlineStr">
        <is>
          <t>002-HIDRAULICA</t>
        </is>
      </c>
      <c r="C7" s="127" t="n"/>
      <c r="D7" s="14" t="inlineStr">
        <is>
          <t>EMPREENDIMENTO:</t>
        </is>
      </c>
      <c r="E7" s="15" t="inlineStr">
        <is>
          <t>RYT PAULISTA</t>
        </is>
      </c>
      <c r="F7" s="16" t="n"/>
      <c r="G7" s="17" t="inlineStr">
        <is>
          <t>DATA:</t>
        </is>
      </c>
      <c r="H7" s="70" t="inlineStr">
        <is>
          <t>19/06/2026</t>
        </is>
      </c>
    </row>
    <row r="8" ht="22.5" customHeight="1" thickBot="1">
      <c r="A8" s="75" t="inlineStr">
        <is>
          <t>PEDIDO DE COMPRA</t>
        </is>
      </c>
      <c r="B8" s="122" t="n"/>
      <c r="C8" s="122" t="n"/>
      <c r="D8" s="122" t="n"/>
      <c r="E8" s="122" t="n"/>
      <c r="F8" s="122" t="n"/>
      <c r="G8" s="122" t="n"/>
      <c r="H8" s="122" t="n"/>
    </row>
    <row r="9" ht="18" customHeight="1">
      <c r="A9" s="77" t="inlineStr">
        <is>
          <t>DADOS DA EMPRESA CONTRATADA DIRETAMENTE PELA BELA VISTA</t>
        </is>
      </c>
      <c r="B9" s="128" t="n"/>
      <c r="C9" s="128" t="n"/>
      <c r="D9" s="128" t="n"/>
      <c r="E9" s="128" t="n"/>
      <c r="F9" s="128" t="n"/>
      <c r="G9" s="128" t="n"/>
      <c r="H9" s="128" t="n"/>
    </row>
    <row r="10" ht="17.25" customHeight="1">
      <c r="A10" s="18" t="inlineStr">
        <is>
          <t>Razão Social:</t>
        </is>
      </c>
      <c r="B10" s="19" t="n"/>
      <c r="C10" s="20" t="n"/>
      <c r="D10" s="78" t="inlineStr">
        <is>
          <t>DEMA INSTALAÇÕES ELÉTRICAS, HIDRÁULICAS E MANUTENÇÕES LTDA</t>
        </is>
      </c>
      <c r="E10" s="129" t="n"/>
      <c r="F10" s="129" t="n"/>
      <c r="G10" s="129" t="n"/>
      <c r="H10" s="129" t="n"/>
    </row>
    <row r="11">
      <c r="A11" s="21" t="inlineStr">
        <is>
          <t>C.N.P.J:</t>
        </is>
      </c>
      <c r="B11" s="22" t="n"/>
      <c r="C11" s="23" t="n"/>
      <c r="D11" s="79" t="inlineStr">
        <is>
          <t>07.944.979/0001-03</t>
        </is>
      </c>
      <c r="E11" s="130" t="n"/>
      <c r="F11" s="130" t="n"/>
      <c r="G11" s="130" t="n"/>
      <c r="H11" s="130" t="n"/>
    </row>
    <row r="12">
      <c r="A12" s="21" t="inlineStr">
        <is>
          <t>I.E:</t>
        </is>
      </c>
      <c r="B12" s="22" t="n"/>
      <c r="C12" s="23" t="n"/>
      <c r="D12" s="80" t="inlineStr">
        <is>
          <t>126.622.481.114</t>
        </is>
      </c>
      <c r="E12" s="131" t="n"/>
      <c r="F12" s="131" t="n"/>
      <c r="G12" s="131" t="n"/>
      <c r="H12" s="131" t="n"/>
    </row>
    <row r="13">
      <c r="A13" s="21" t="inlineStr">
        <is>
          <t>Endereço:</t>
        </is>
      </c>
      <c r="B13" s="22" t="n"/>
      <c r="C13" s="23" t="n"/>
      <c r="D13" s="132" t="inlineStr">
        <is>
          <t>Av. Brigadeiro Luís Antônio, 3097, Jardim Paulista, São Paulo - SP</t>
        </is>
      </c>
    </row>
    <row r="14">
      <c r="A14" s="21" t="inlineStr">
        <is>
          <t>Telefone:</t>
        </is>
      </c>
      <c r="B14" s="22" t="n"/>
      <c r="C14" s="23" t="n"/>
      <c r="D14" s="80" t="inlineStr">
        <is>
          <t>(11) 94794-1317</t>
        </is>
      </c>
      <c r="E14" s="131" t="n"/>
      <c r="F14" s="131" t="n"/>
      <c r="G14" s="131" t="n"/>
      <c r="H14" s="131" t="n"/>
    </row>
    <row r="15">
      <c r="A15" s="24" t="inlineStr">
        <is>
          <t>Email:</t>
        </is>
      </c>
      <c r="B15" s="25" t="n"/>
      <c r="C15" s="26" t="n"/>
      <c r="D15" s="82" t="inlineStr">
        <is>
          <t>vendas@demainstalacoes.com.br</t>
        </is>
      </c>
      <c r="E15" s="131" t="n"/>
      <c r="F15" s="131" t="n"/>
      <c r="G15" s="131" t="n"/>
      <c r="H15" s="131" t="n"/>
    </row>
    <row r="16">
      <c r="A16" s="27" t="inlineStr">
        <is>
          <t>Nome do contato:</t>
        </is>
      </c>
      <c r="B16" s="28" t="n"/>
      <c r="C16" s="29" t="n"/>
      <c r="D16" s="83" t="inlineStr">
        <is>
          <t>Rebeca Meneses</t>
        </is>
      </c>
      <c r="E16" s="133" t="n"/>
      <c r="F16" s="133" t="n"/>
      <c r="G16" s="133" t="n"/>
      <c r="H16" s="133" t="n"/>
    </row>
    <row r="17" ht="18" customHeight="1">
      <c r="A17" s="77" t="inlineStr">
        <is>
          <t>DADOS DO FORNECEDOR TERCEIRO</t>
        </is>
      </c>
      <c r="B17" s="128" t="n"/>
      <c r="C17" s="128" t="n"/>
      <c r="D17" s="128" t="n"/>
      <c r="E17" s="128" t="n"/>
      <c r="F17" s="128" t="n"/>
      <c r="G17" s="128" t="n"/>
      <c r="H17" s="128" t="n"/>
    </row>
    <row r="18">
      <c r="A18" s="18" t="inlineStr">
        <is>
          <t>Razão Social:</t>
        </is>
      </c>
      <c r="B18" s="19" t="n"/>
      <c r="C18" s="20" t="n"/>
      <c r="D18" s="84" t="inlineStr">
        <is>
          <t>FF GUARULHOS</t>
        </is>
      </c>
      <c r="E18" s="129" t="n"/>
      <c r="F18" s="129" t="n"/>
      <c r="G18" s="129" t="n"/>
      <c r="H18" s="129" t="n"/>
    </row>
    <row r="19">
      <c r="A19" s="21" t="inlineStr">
        <is>
          <t>C.N.P.J:</t>
        </is>
      </c>
      <c r="B19" s="22" t="n"/>
      <c r="C19" s="23" t="n"/>
      <c r="D19" s="85" t="inlineStr">
        <is>
          <t>07.716.473/0001-39</t>
        </is>
      </c>
      <c r="E19" s="130" t="n"/>
      <c r="F19" s="130" t="n"/>
      <c r="G19" s="130" t="n"/>
      <c r="H19" s="130" t="n"/>
    </row>
    <row r="20">
      <c r="A20" s="21" t="inlineStr">
        <is>
          <t>I.E:</t>
        </is>
      </c>
      <c r="B20" s="22" t="n"/>
      <c r="C20" s="23" t="n"/>
      <c r="D20" s="86" t="inlineStr">
        <is>
          <t>ISENTO</t>
        </is>
      </c>
      <c r="E20" s="131" t="n"/>
      <c r="F20" s="131" t="n"/>
      <c r="G20" s="131" t="n"/>
      <c r="H20" s="131" t="n"/>
    </row>
    <row r="21">
      <c r="A21" s="21" t="inlineStr">
        <is>
          <t>Endereço:</t>
        </is>
      </c>
      <c r="B21" s="22" t="n"/>
      <c r="C21" s="23" t="n"/>
      <c r="D21" s="88" t="inlineStr">
        <is>
          <t>AV. SETE DE SETEMBRO, 2018 - VILA GALVÃO - GUARULHOS/SP - CEP 07064-002</t>
        </is>
      </c>
      <c r="E21" s="131" t="n"/>
      <c r="F21" s="131" t="n"/>
      <c r="G21" s="131" t="n"/>
      <c r="H21" s="131" t="n"/>
    </row>
    <row r="22">
      <c r="A22" s="21" t="inlineStr">
        <is>
          <t>Telefone:</t>
        </is>
      </c>
      <c r="B22" s="22" t="n"/>
      <c r="C22" s="23" t="n"/>
      <c r="D22" s="88" t="inlineStr">
        <is>
          <t>(11) 2453-6840</t>
        </is>
      </c>
      <c r="E22" s="131" t="n"/>
      <c r="F22" s="131" t="n"/>
      <c r="G22" s="131" t="n"/>
      <c r="H22" s="131" t="n"/>
    </row>
    <row r="23">
      <c r="A23" s="24" t="inlineStr">
        <is>
          <t>Email:</t>
        </is>
      </c>
      <c r="B23" s="25" t="n"/>
      <c r="C23" s="26" t="n"/>
      <c r="D23" s="89" t="inlineStr">
        <is>
          <t>sidny@ffguarulhos.com.br</t>
        </is>
      </c>
      <c r="E23" s="131" t="n"/>
      <c r="F23" s="131" t="n"/>
      <c r="G23" s="131" t="n"/>
      <c r="H23" s="131" t="n"/>
    </row>
    <row r="24">
      <c r="A24" s="27" t="inlineStr">
        <is>
          <t>Nome do contato:</t>
        </is>
      </c>
      <c r="B24" s="28" t="n"/>
      <c r="C24" s="29" t="n"/>
      <c r="D24" s="90" t="inlineStr">
        <is>
          <t>Joseluiz</t>
        </is>
      </c>
      <c r="E24" s="133" t="n"/>
      <c r="F24" s="133" t="n"/>
      <c r="G24" s="133" t="n"/>
      <c r="H24" s="133" t="n"/>
    </row>
    <row r="25" ht="18" customHeight="1">
      <c r="A25" s="77" t="inlineStr">
        <is>
          <t>DADOS PARA FATURAMENTO</t>
        </is>
      </c>
      <c r="B25" s="128" t="n"/>
      <c r="C25" s="128" t="n"/>
      <c r="D25" s="128" t="n"/>
      <c r="E25" s="128" t="n"/>
      <c r="F25" s="128" t="n"/>
      <c r="G25" s="128" t="n"/>
      <c r="H25" s="128" t="n"/>
    </row>
    <row r="26">
      <c r="A26" s="18" t="inlineStr">
        <is>
          <t>Razão Social:</t>
        </is>
      </c>
      <c r="B26" s="19" t="n"/>
      <c r="C26" s="20" t="n"/>
      <c r="D26" s="91" t="inlineStr">
        <is>
          <t>BELA VISTA EMPREENDIMENTO IMOBILIÁRIO S.A.</t>
        </is>
      </c>
      <c r="E26" s="130" t="n"/>
      <c r="F26" s="130" t="n"/>
      <c r="G26" s="130" t="n"/>
      <c r="H26" s="130" t="n"/>
    </row>
    <row r="27" ht="13" customHeight="1">
      <c r="A27" s="21" t="inlineStr">
        <is>
          <t>Endereço:</t>
        </is>
      </c>
      <c r="B27" s="22" t="n"/>
      <c r="C27" s="23" t="n"/>
      <c r="D27" s="92" t="inlineStr">
        <is>
          <t>AV DAS NAÇÕES UNIDAS, 14401 - ANDAR 5 B1 - VILA GERTRUDES - SÃO PAULO/SP</t>
        </is>
      </c>
      <c r="E27" s="131" t="n"/>
      <c r="F27" s="131" t="n"/>
      <c r="G27" s="131" t="n"/>
      <c r="H27" s="131" t="n"/>
    </row>
    <row r="28">
      <c r="A28" s="21" t="inlineStr">
        <is>
          <t>C.N.P.J:</t>
        </is>
      </c>
      <c r="B28" s="22" t="n"/>
      <c r="C28" s="23" t="n"/>
      <c r="D28" s="93" t="inlineStr">
        <is>
          <t>47.312.779/0001-44</t>
        </is>
      </c>
      <c r="E28" s="131" t="n"/>
      <c r="F28" s="131" t="n"/>
      <c r="G28" s="131" t="n"/>
      <c r="H28" s="131" t="n"/>
    </row>
    <row r="29">
      <c r="A29" s="21" t="inlineStr">
        <is>
          <t>I.E:</t>
        </is>
      </c>
      <c r="B29" s="22" t="n"/>
      <c r="C29" s="23" t="n"/>
      <c r="D29" s="94" t="inlineStr">
        <is>
          <t>-</t>
        </is>
      </c>
      <c r="E29" s="131" t="n"/>
      <c r="F29" s="131" t="n"/>
      <c r="G29" s="131" t="n"/>
      <c r="H29" s="131" t="n"/>
    </row>
    <row r="30">
      <c r="A30" s="30" t="inlineStr">
        <is>
          <t>Telefone:</t>
        </is>
      </c>
      <c r="B30" s="31" t="n"/>
      <c r="C30" s="32" t="n"/>
      <c r="D30" s="95" t="inlineStr">
        <is>
          <t>(11) 3465-7000</t>
        </is>
      </c>
      <c r="E30" s="134" t="n"/>
      <c r="F30" s="134" t="n"/>
      <c r="G30" s="134" t="n"/>
      <c r="H30" s="134" t="n"/>
    </row>
    <row r="31" ht="18" customHeight="1">
      <c r="A31" s="77" t="inlineStr">
        <is>
          <t>DADOS PARA ENTREGA</t>
        </is>
      </c>
      <c r="B31" s="128" t="n"/>
      <c r="C31" s="128" t="n"/>
      <c r="D31" s="128" t="n"/>
      <c r="E31" s="128" t="n"/>
      <c r="F31" s="128" t="n"/>
      <c r="G31" s="128" t="n"/>
      <c r="H31" s="128" t="n"/>
    </row>
    <row r="32">
      <c r="A32" s="33" t="inlineStr">
        <is>
          <t>Razão Social:</t>
        </is>
      </c>
      <c r="B32" s="34" t="n"/>
      <c r="C32" s="35" t="n"/>
      <c r="D32" s="91" t="inlineStr">
        <is>
          <t>BELA VISTA EMPREENDIMENTO IMOBILIÁRIO S.A.</t>
        </is>
      </c>
      <c r="E32" s="130" t="n"/>
      <c r="F32" s="130" t="n"/>
      <c r="G32" s="130" t="n"/>
      <c r="H32" s="130" t="n"/>
    </row>
    <row r="33" ht="13" customHeight="1">
      <c r="A33" s="21" t="inlineStr">
        <is>
          <t>Endereço:</t>
        </is>
      </c>
      <c r="B33" s="22" t="n"/>
      <c r="C33" s="23" t="n"/>
      <c r="D33" s="92" t="inlineStr">
        <is>
          <t>RUA DOUTOR PENAFORTE MENDES, 74 - BELA VISTA - CEP 01308-010</t>
        </is>
      </c>
      <c r="E33" s="131" t="n"/>
      <c r="F33" s="131" t="n"/>
      <c r="G33" s="131" t="n"/>
      <c r="H33" s="131" t="n"/>
    </row>
    <row r="34">
      <c r="A34" s="21" t="inlineStr">
        <is>
          <t>C.N.P.J:</t>
        </is>
      </c>
      <c r="B34" s="22" t="n"/>
      <c r="C34" s="23" t="n"/>
      <c r="D34" s="93" t="inlineStr">
        <is>
          <t>47.312.779/0001-44</t>
        </is>
      </c>
      <c r="E34" s="131" t="n"/>
      <c r="F34" s="131" t="n"/>
      <c r="G34" s="131" t="n"/>
      <c r="H34" s="131" t="n"/>
    </row>
    <row r="35">
      <c r="A35" s="21" t="inlineStr">
        <is>
          <t>I.E:</t>
        </is>
      </c>
      <c r="B35" s="22" t="n"/>
      <c r="C35" s="23" t="n"/>
      <c r="D35" s="94" t="inlineStr">
        <is>
          <t>-</t>
        </is>
      </c>
      <c r="E35" s="131" t="n"/>
      <c r="F35" s="131" t="n"/>
      <c r="G35" s="131" t="n"/>
      <c r="H35" s="131" t="n"/>
    </row>
    <row r="36">
      <c r="A36" s="24" t="inlineStr">
        <is>
          <t>Telefone:</t>
        </is>
      </c>
      <c r="B36" s="25" t="n"/>
      <c r="C36" s="26" t="n"/>
      <c r="D36" s="96" t="inlineStr">
        <is>
          <t>(11) 99117-5741 - Antônio</t>
        </is>
      </c>
      <c r="E36" s="135" t="n"/>
      <c r="F36" s="135" t="n"/>
      <c r="G36" s="135" t="n"/>
      <c r="H36" s="135" t="n"/>
    </row>
    <row r="37" ht="30" customHeight="1" thickBot="1" thickTop="1">
      <c r="A37" s="67" t="inlineStr">
        <is>
          <t>CÓD. DO ITEM</t>
        </is>
      </c>
      <c r="B37" s="68" t="inlineStr">
        <is>
          <t>QUANT.</t>
        </is>
      </c>
      <c r="C37" s="69" t="inlineStr">
        <is>
          <t>UN.</t>
        </is>
      </c>
      <c r="D37" s="97" t="inlineStr">
        <is>
          <t>PRODUTO</t>
        </is>
      </c>
      <c r="E37" s="136" t="n"/>
      <c r="F37" s="68" t="inlineStr">
        <is>
          <t>R$ UNIT.</t>
        </is>
      </c>
      <c r="G37" s="68" t="inlineStr">
        <is>
          <t>% IPI</t>
        </is>
      </c>
      <c r="H37" s="68" t="inlineStr">
        <is>
          <t>R$ SUB-TOTAL</t>
        </is>
      </c>
    </row>
    <row r="38" ht="24.5" customHeight="1" thickBot="1">
      <c r="A38" s="137" t="n">
        <v>1</v>
      </c>
      <c r="B38" s="138" t="n">
        <v>4</v>
      </c>
      <c r="C38" s="139" t="inlineStr">
        <is>
          <t>PC</t>
        </is>
      </c>
      <c r="D38" s="140" t="inlineStr">
        <is>
          <t>COTOVELO JE PB OCRE 90 X 200MM</t>
        </is>
      </c>
      <c r="E38" s="141" t="n"/>
      <c r="F38" s="142" t="n">
        <v>121.27</v>
      </c>
      <c r="G38" s="143" t="n"/>
      <c r="H38" s="144">
        <f>F38*B38</f>
        <v/>
      </c>
    </row>
    <row r="39" ht="24.5" customHeight="1">
      <c r="A39" s="137" t="n">
        <v>2</v>
      </c>
      <c r="B39" s="138" t="n">
        <v>8</v>
      </c>
      <c r="C39" s="139" t="inlineStr">
        <is>
          <t>PC</t>
        </is>
      </c>
      <c r="D39" s="140" t="inlineStr">
        <is>
          <t>JOELHO ESG 90 DN150 SR</t>
        </is>
      </c>
      <c r="E39" s="141" t="n"/>
      <c r="F39" s="142" t="n">
        <v>52.71</v>
      </c>
      <c r="G39" s="143" t="n"/>
      <c r="H39" s="144">
        <f>F39*B39</f>
        <v/>
      </c>
    </row>
    <row r="40" ht="24.5" customHeight="1">
      <c r="A40" s="137" t="n">
        <v>3</v>
      </c>
      <c r="B40" s="138" t="n">
        <v>15</v>
      </c>
      <c r="C40" s="139" t="inlineStr">
        <is>
          <t>PC</t>
        </is>
      </c>
      <c r="D40" s="140" t="inlineStr">
        <is>
          <t>JOELHO ESG 90 DN100 SR</t>
        </is>
      </c>
      <c r="E40" s="141" t="n"/>
      <c r="F40" s="142" t="n">
        <v>13.034</v>
      </c>
      <c r="G40" s="143" t="n"/>
      <c r="H40" s="144">
        <f>F40*B40</f>
        <v/>
      </c>
    </row>
    <row r="41" ht="24.5" customHeight="1">
      <c r="A41" s="137" t="n">
        <v>4</v>
      </c>
      <c r="B41" s="138" t="n">
        <v>10</v>
      </c>
      <c r="C41" s="139" t="inlineStr">
        <is>
          <t>PC</t>
        </is>
      </c>
      <c r="D41" s="140" t="inlineStr">
        <is>
          <t>JOELHO ESG 90 DN 75 SR</t>
        </is>
      </c>
      <c r="E41" s="141" t="n"/>
      <c r="F41" s="142" t="n">
        <v>11.494</v>
      </c>
      <c r="G41" s="143" t="n"/>
      <c r="H41" s="144">
        <f>F41*B41</f>
        <v/>
      </c>
    </row>
    <row r="42" ht="24.5" customHeight="1">
      <c r="A42" s="137" t="n">
        <v>5</v>
      </c>
      <c r="B42" s="138" t="n">
        <v>10</v>
      </c>
      <c r="C42" s="139" t="inlineStr">
        <is>
          <t>PC</t>
        </is>
      </c>
      <c r="D42" s="140" t="inlineStr">
        <is>
          <t>JOELHO ESG 90 DN 50 SR</t>
        </is>
      </c>
      <c r="E42" s="141" t="n"/>
      <c r="F42" s="142" t="n">
        <v>4.315</v>
      </c>
      <c r="G42" s="143" t="n"/>
      <c r="H42" s="144">
        <f>F42*B42</f>
        <v/>
      </c>
    </row>
    <row r="43" ht="24.5" customHeight="1">
      <c r="A43" s="137" t="n">
        <v>6</v>
      </c>
      <c r="B43" s="138" t="n">
        <v>8</v>
      </c>
      <c r="C43" s="139" t="inlineStr">
        <is>
          <t>PC</t>
        </is>
      </c>
      <c r="D43" s="140" t="inlineStr">
        <is>
          <t>JOELHO ESG 90 DN 40 SR</t>
        </is>
      </c>
      <c r="E43" s="141" t="n"/>
      <c r="F43" s="142" t="n">
        <v>2.61</v>
      </c>
      <c r="G43" s="143" t="n"/>
      <c r="H43" s="144">
        <f>F43*B43</f>
        <v/>
      </c>
    </row>
    <row r="44" ht="24.5" customHeight="1">
      <c r="A44" s="137" t="n">
        <v>7</v>
      </c>
      <c r="B44" s="138" t="n">
        <v>4</v>
      </c>
      <c r="C44" s="139" t="inlineStr">
        <is>
          <t>PC</t>
        </is>
      </c>
      <c r="D44" s="140" t="inlineStr">
        <is>
          <t>JOELHO ESG 45 DN150 SR</t>
        </is>
      </c>
      <c r="E44" s="141" t="n"/>
      <c r="F44" s="142" t="n">
        <v>48.345</v>
      </c>
      <c r="G44" s="143" t="n"/>
      <c r="H44" s="144">
        <f>F44*B44</f>
        <v/>
      </c>
    </row>
    <row r="45" ht="24.5" customHeight="1">
      <c r="A45" s="137" t="n">
        <v>8</v>
      </c>
      <c r="B45" s="138" t="n">
        <v>12</v>
      </c>
      <c r="C45" s="139" t="inlineStr">
        <is>
          <t>PC</t>
        </is>
      </c>
      <c r="D45" s="140" t="inlineStr">
        <is>
          <t>JOELHO ESG 45 DN100 SR</t>
        </is>
      </c>
      <c r="E45" s="141" t="n"/>
      <c r="F45" s="142" t="n">
        <v>13.67083</v>
      </c>
      <c r="G45" s="143" t="n"/>
      <c r="H45" s="144">
        <f>F45*B45</f>
        <v/>
      </c>
    </row>
    <row r="46" ht="24.5" customHeight="1">
      <c r="A46" s="137" t="n">
        <v>9</v>
      </c>
      <c r="B46" s="138" t="n">
        <v>10</v>
      </c>
      <c r="C46" s="139" t="inlineStr">
        <is>
          <t>PC</t>
        </is>
      </c>
      <c r="D46" s="140" t="inlineStr">
        <is>
          <t>JOELHO ESG 45 DN 75 SR</t>
        </is>
      </c>
      <c r="E46" s="141" t="n"/>
      <c r="F46" s="142" t="n">
        <v>11.252</v>
      </c>
      <c r="G46" s="143" t="n"/>
      <c r="H46" s="144">
        <f>F46*B46</f>
        <v/>
      </c>
    </row>
    <row r="47" ht="24.5" customFormat="1" customHeight="1" s="120">
      <c r="A47" s="137" t="n">
        <v>10</v>
      </c>
      <c r="B47" s="138" t="n">
        <v>12</v>
      </c>
      <c r="C47" s="139" t="inlineStr">
        <is>
          <t>PC</t>
        </is>
      </c>
      <c r="D47" s="140" t="inlineStr">
        <is>
          <t>JOELHO ESG 45 DN 50 SR</t>
        </is>
      </c>
      <c r="E47" s="141" t="n"/>
      <c r="F47" s="142" t="n">
        <v>4.315</v>
      </c>
      <c r="G47" s="143" t="n"/>
      <c r="H47" s="144">
        <f>F47*B47</f>
        <v/>
      </c>
    </row>
    <row r="48" ht="24.5" customHeight="1">
      <c r="A48" s="137" t="n">
        <v>11</v>
      </c>
      <c r="B48" s="138" t="n">
        <v>10</v>
      </c>
      <c r="C48" s="139" t="inlineStr">
        <is>
          <t>PC</t>
        </is>
      </c>
      <c r="D48" s="140" t="inlineStr">
        <is>
          <t>JOELHO ESG 45 DN 40 SR</t>
        </is>
      </c>
      <c r="E48" s="141" t="n"/>
      <c r="F48" s="142" t="n">
        <v>2.66</v>
      </c>
      <c r="G48" s="143" t="n"/>
      <c r="H48" s="144">
        <f>F48*B48</f>
        <v/>
      </c>
    </row>
    <row r="49" ht="24.5" customHeight="1">
      <c r="A49" s="137" t="n">
        <v>12</v>
      </c>
      <c r="B49" s="138" t="n">
        <v>6</v>
      </c>
      <c r="C49" s="139" t="inlineStr">
        <is>
          <t>PC</t>
        </is>
      </c>
      <c r="D49" s="140" t="inlineStr">
        <is>
          <t>JUNCAO ESG SIMP RED DN100 X 50 SR</t>
        </is>
      </c>
      <c r="E49" s="141" t="n"/>
      <c r="F49" s="142" t="n">
        <v>26.615</v>
      </c>
      <c r="G49" s="143" t="n"/>
      <c r="H49" s="144">
        <f>F49*B49</f>
        <v/>
      </c>
    </row>
    <row r="50" ht="24.5" customHeight="1">
      <c r="A50" s="137" t="n">
        <v>13</v>
      </c>
      <c r="B50" s="138" t="n">
        <v>4</v>
      </c>
      <c r="C50" s="139" t="inlineStr">
        <is>
          <t>PC</t>
        </is>
      </c>
      <c r="D50" s="140" t="inlineStr">
        <is>
          <t>JUNCAO ESG SIMP DN 50 SR 12496</t>
        </is>
      </c>
      <c r="E50" s="141" t="n"/>
      <c r="F50" s="142" t="n">
        <v>13.9625</v>
      </c>
      <c r="G50" s="143" t="n"/>
      <c r="H50" s="144">
        <f>F50*B50</f>
        <v/>
      </c>
    </row>
    <row r="51" ht="24.5" customHeight="1">
      <c r="A51" s="137" t="n">
        <v>14</v>
      </c>
      <c r="B51" s="138" t="n">
        <v>5</v>
      </c>
      <c r="C51" s="139" t="inlineStr">
        <is>
          <t>PC</t>
        </is>
      </c>
      <c r="D51" s="140" t="inlineStr">
        <is>
          <t>JUNCAO ESG SIMP DN 75 SR 11403</t>
        </is>
      </c>
      <c r="E51" s="141" t="n"/>
      <c r="F51" s="142" t="n">
        <v>24.516</v>
      </c>
      <c r="G51" s="143" t="n"/>
      <c r="H51" s="144">
        <f>F51*B51</f>
        <v/>
      </c>
    </row>
    <row r="52" ht="24.5" customHeight="1">
      <c r="A52" s="137" t="n">
        <v>15</v>
      </c>
      <c r="B52" s="138" t="n">
        <v>3</v>
      </c>
      <c r="C52" s="139" t="inlineStr">
        <is>
          <t>PC</t>
        </is>
      </c>
      <c r="D52" s="140" t="inlineStr">
        <is>
          <t>TE ESG DN 50 SR</t>
        </is>
      </c>
      <c r="E52" s="141" t="n"/>
      <c r="F52" s="142" t="n">
        <v>12.01667</v>
      </c>
      <c r="G52" s="143" t="n"/>
      <c r="H52" s="144">
        <f>F52*B52</f>
        <v/>
      </c>
    </row>
    <row r="53" ht="24.5" customHeight="1">
      <c r="A53" s="137" t="n">
        <v>16</v>
      </c>
      <c r="B53" s="138" t="n">
        <v>4</v>
      </c>
      <c r="C53" s="139" t="inlineStr">
        <is>
          <t>PC</t>
        </is>
      </c>
      <c r="D53" s="140" t="inlineStr">
        <is>
          <t>LUVA CORRER JE BB OCRE 250MM</t>
        </is>
      </c>
      <c r="E53" s="141" t="n"/>
      <c r="F53" s="142" t="n">
        <v>140.925</v>
      </c>
      <c r="G53" s="143" t="n"/>
      <c r="H53" s="144">
        <f>F53*B53</f>
        <v/>
      </c>
    </row>
    <row r="54" ht="24.5" customHeight="1">
      <c r="A54" s="137" t="n">
        <v>17</v>
      </c>
      <c r="B54" s="138" t="n">
        <v>8</v>
      </c>
      <c r="C54" s="139" t="inlineStr">
        <is>
          <t>PC</t>
        </is>
      </c>
      <c r="D54" s="140" t="inlineStr">
        <is>
          <t>LUVA CORRER JE BB OCRE 200MM</t>
        </is>
      </c>
      <c r="E54" s="141" t="n"/>
      <c r="F54" s="142" t="n">
        <v>60.635</v>
      </c>
      <c r="G54" s="143" t="n"/>
      <c r="H54" s="144">
        <f>F54*B54</f>
        <v/>
      </c>
    </row>
    <row r="55" ht="24.5" customHeight="1">
      <c r="A55" s="137" t="n">
        <v>18</v>
      </c>
      <c r="B55" s="138" t="n">
        <v>15</v>
      </c>
      <c r="C55" s="139" t="inlineStr">
        <is>
          <t>PC</t>
        </is>
      </c>
      <c r="D55" s="140" t="inlineStr">
        <is>
          <t>LUVA ESG SIMP DN150 SR</t>
        </is>
      </c>
      <c r="E55" s="141" t="n"/>
      <c r="F55" s="142" t="n">
        <v>25.10133</v>
      </c>
      <c r="G55" s="143" t="n"/>
      <c r="H55" s="144">
        <f>F55*B55</f>
        <v/>
      </c>
    </row>
    <row r="56" ht="24.5" customHeight="1">
      <c r="A56" s="137" t="n">
        <v>19</v>
      </c>
      <c r="B56" s="138" t="n">
        <v>30</v>
      </c>
      <c r="C56" s="139" t="inlineStr">
        <is>
          <t>PC</t>
        </is>
      </c>
      <c r="D56" s="140" t="inlineStr">
        <is>
          <t>LUVA ESG SIMP DN100 SR</t>
        </is>
      </c>
      <c r="E56" s="141" t="n"/>
      <c r="F56" s="142" t="n">
        <v>9.164669999999999</v>
      </c>
      <c r="G56" s="143" t="n"/>
      <c r="H56" s="144">
        <f>F56*B56</f>
        <v/>
      </c>
    </row>
    <row r="57" ht="24.5" customHeight="1">
      <c r="A57" s="137" t="n">
        <v>20</v>
      </c>
      <c r="B57" s="138" t="n">
        <v>20</v>
      </c>
      <c r="C57" s="139" t="inlineStr">
        <is>
          <t>PC</t>
        </is>
      </c>
      <c r="D57" s="140" t="inlineStr">
        <is>
          <t>LUVA ESG SIMP DN 75 SR</t>
        </is>
      </c>
      <c r="E57" s="141" t="n"/>
      <c r="F57" s="142" t="n">
        <v>7.752</v>
      </c>
      <c r="G57" s="143" t="n"/>
      <c r="H57" s="144">
        <f>F57*B57</f>
        <v/>
      </c>
    </row>
    <row r="58" ht="24.5" customHeight="1">
      <c r="A58" s="137" t="n">
        <v>21</v>
      </c>
      <c r="B58" s="138" t="n">
        <v>20</v>
      </c>
      <c r="C58" s="139" t="inlineStr">
        <is>
          <t>PC</t>
        </is>
      </c>
      <c r="D58" s="140" t="inlineStr">
        <is>
          <t>LUVA ESG SIMP DN 50 SR</t>
        </is>
      </c>
      <c r="E58" s="141" t="n"/>
      <c r="F58" s="142" t="n">
        <v>6.479</v>
      </c>
      <c r="G58" s="143" t="n"/>
      <c r="H58" s="144">
        <f>F58*B58</f>
        <v/>
      </c>
    </row>
    <row r="59" ht="24.5" customHeight="1">
      <c r="A59" s="137" t="n">
        <v>22</v>
      </c>
      <c r="B59" s="138" t="n">
        <v>15</v>
      </c>
      <c r="C59" s="139" t="inlineStr">
        <is>
          <t>PC</t>
        </is>
      </c>
      <c r="D59" s="140" t="inlineStr">
        <is>
          <t>LUVA ESG SIMP DN 40 SR</t>
        </is>
      </c>
      <c r="E59" s="141" t="n"/>
      <c r="F59" s="142" t="n">
        <v>3.16933</v>
      </c>
      <c r="G59" s="143" t="n"/>
      <c r="H59" s="144">
        <f>F59*B59</f>
        <v/>
      </c>
    </row>
    <row r="60" ht="24.5" customHeight="1">
      <c r="A60" s="137" t="n">
        <v>23</v>
      </c>
      <c r="B60" s="138" t="n">
        <v>6</v>
      </c>
      <c r="C60" s="139" t="inlineStr">
        <is>
          <t>PC</t>
        </is>
      </c>
      <c r="D60" s="140" t="inlineStr">
        <is>
          <t>CORPO CX SIF 150 X 150 X 50 N 93</t>
        </is>
      </c>
      <c r="E60" s="141" t="n"/>
      <c r="F60" s="142" t="n">
        <v>26.425</v>
      </c>
      <c r="G60" s="143" t="n"/>
      <c r="H60" s="144">
        <f>F60*B60</f>
        <v/>
      </c>
    </row>
    <row r="61" ht="24.5" customHeight="1">
      <c r="A61" s="137" t="n">
        <v>24</v>
      </c>
      <c r="B61" s="138" t="n">
        <v>7</v>
      </c>
      <c r="C61" s="139" t="inlineStr">
        <is>
          <t>PC</t>
        </is>
      </c>
      <c r="D61" s="140" t="inlineStr">
        <is>
          <t>CORPO CX SIF 150 X 185 X 75 N 99</t>
        </is>
      </c>
      <c r="E61" s="141" t="n"/>
      <c r="F61" s="142" t="n">
        <v>28.30857</v>
      </c>
      <c r="G61" s="143" t="n"/>
      <c r="H61" s="144">
        <f>F61*B61</f>
        <v/>
      </c>
    </row>
    <row r="62" ht="24.5" customHeight="1">
      <c r="A62" s="137" t="n">
        <v>25</v>
      </c>
      <c r="B62" s="138" t="n">
        <v>3</v>
      </c>
      <c r="C62" s="139" t="inlineStr">
        <is>
          <t>PC</t>
        </is>
      </c>
      <c r="D62" s="140" t="inlineStr">
        <is>
          <t>CORPO CX SIF 100 X 150 X 50 N 94</t>
        </is>
      </c>
      <c r="E62" s="141" t="n"/>
      <c r="F62" s="142" t="n">
        <v>20.68333</v>
      </c>
      <c r="G62" s="143" t="n"/>
      <c r="H62" s="144">
        <f>F62*B62</f>
        <v/>
      </c>
    </row>
    <row r="63" ht="24.5" customHeight="1">
      <c r="A63" s="137" t="n">
        <v>26</v>
      </c>
      <c r="B63" s="138" t="n">
        <v>2</v>
      </c>
      <c r="C63" s="139" t="inlineStr">
        <is>
          <t>PC</t>
        </is>
      </c>
      <c r="D63" s="140" t="inlineStr">
        <is>
          <t>CORPO CX SECA 100 X 100 X 50/40 N 98</t>
        </is>
      </c>
      <c r="E63" s="141" t="n"/>
      <c r="F63" s="142" t="n">
        <v>11.95</v>
      </c>
      <c r="G63" s="143" t="n"/>
      <c r="H63" s="144">
        <f>F63*B63</f>
        <v/>
      </c>
    </row>
    <row r="64" ht="24.5" customHeight="1">
      <c r="A64" s="137" t="n">
        <v>27</v>
      </c>
      <c r="B64" s="138" t="n">
        <v>12</v>
      </c>
      <c r="C64" s="139" t="inlineStr">
        <is>
          <t>PC</t>
        </is>
      </c>
      <c r="D64" s="140" t="inlineStr">
        <is>
          <t>ANEL BORR OCRE TCC 250MM</t>
        </is>
      </c>
      <c r="E64" s="141" t="n"/>
      <c r="F64" s="142" t="n">
        <v>31.135</v>
      </c>
      <c r="G64" s="143" t="n"/>
      <c r="H64" s="144">
        <f>F64*B64</f>
        <v/>
      </c>
    </row>
    <row r="65" ht="24.5" customHeight="1">
      <c r="A65" s="137" t="n">
        <v>28</v>
      </c>
      <c r="B65" s="138" t="n">
        <v>30</v>
      </c>
      <c r="C65" s="139" t="inlineStr">
        <is>
          <t>PC</t>
        </is>
      </c>
      <c r="D65" s="140" t="inlineStr">
        <is>
          <t>ANEL BORR OCRE TCC 200MM</t>
        </is>
      </c>
      <c r="E65" s="141" t="n"/>
      <c r="F65" s="142" t="n">
        <v>8.737</v>
      </c>
      <c r="G65" s="143" t="n"/>
      <c r="H65" s="144">
        <f>F65*B65</f>
        <v/>
      </c>
    </row>
    <row r="66" ht="24.5" customHeight="1">
      <c r="A66" s="137" t="n">
        <v>29</v>
      </c>
      <c r="B66" s="138" t="n">
        <v>50</v>
      </c>
      <c r="C66" s="139" t="inlineStr">
        <is>
          <t>PC</t>
        </is>
      </c>
      <c r="D66" s="140" t="inlineStr">
        <is>
          <t>ANEL VED P/ESG DN150</t>
        </is>
      </c>
      <c r="E66" s="141" t="n"/>
      <c r="F66" s="142" t="n">
        <v>4.308</v>
      </c>
      <c r="G66" s="143" t="n"/>
      <c r="H66" s="144">
        <f>F66*B66</f>
        <v/>
      </c>
    </row>
    <row r="67" ht="24.5" customHeight="1">
      <c r="A67" s="137" t="n">
        <v>30</v>
      </c>
      <c r="B67" s="138" t="n">
        <v>100</v>
      </c>
      <c r="C67" s="139" t="inlineStr">
        <is>
          <t>PC</t>
        </is>
      </c>
      <c r="D67" s="140" t="inlineStr">
        <is>
          <t>ANEL VED P/ESG DN100</t>
        </is>
      </c>
      <c r="E67" s="141" t="n"/>
      <c r="F67" s="142" t="n">
        <v>1.0604</v>
      </c>
      <c r="G67" s="143" t="n"/>
      <c r="H67" s="144">
        <f>F67*B67</f>
        <v/>
      </c>
    </row>
    <row r="68" ht="24.5" customHeight="1">
      <c r="A68" s="137" t="n">
        <v>31</v>
      </c>
      <c r="B68" s="138" t="n">
        <v>50</v>
      </c>
      <c r="C68" s="139" t="inlineStr">
        <is>
          <t>PC</t>
        </is>
      </c>
      <c r="D68" s="140" t="inlineStr">
        <is>
          <t>ANEL VED P/ESG DN 75</t>
        </is>
      </c>
      <c r="E68" s="141" t="n"/>
      <c r="F68" s="142" t="n">
        <v>0.9058</v>
      </c>
      <c r="G68" s="143" t="n"/>
      <c r="H68" s="144">
        <f>F68*B68</f>
        <v/>
      </c>
    </row>
    <row r="69" ht="24.5" customHeight="1">
      <c r="A69" s="137" t="n">
        <v>32</v>
      </c>
      <c r="B69" s="138" t="n">
        <v>50</v>
      </c>
      <c r="C69" s="139" t="inlineStr">
        <is>
          <t>PC</t>
        </is>
      </c>
      <c r="D69" s="140" t="inlineStr">
        <is>
          <t>ANEL VED P/ESG DN 50</t>
        </is>
      </c>
      <c r="E69" s="141" t="n"/>
      <c r="F69" s="142" t="n">
        <v>0.6296</v>
      </c>
      <c r="G69" s="143" t="n"/>
      <c r="H69" s="144">
        <f>F69*B69</f>
        <v/>
      </c>
    </row>
    <row r="70" ht="24.5" customHeight="1">
      <c r="A70" s="137" t="n">
        <v>33</v>
      </c>
      <c r="B70" s="138" t="n">
        <v>25</v>
      </c>
      <c r="C70" s="139" t="inlineStr">
        <is>
          <t>PC</t>
        </is>
      </c>
      <c r="D70" s="140" t="inlineStr">
        <is>
          <t>ANEL VED P/ESG DN 40</t>
        </is>
      </c>
      <c r="E70" s="141" t="n"/>
      <c r="F70" s="142" t="n">
        <v>0.5192</v>
      </c>
      <c r="G70" s="143" t="n"/>
      <c r="H70" s="144">
        <f>F70*B70</f>
        <v/>
      </c>
    </row>
    <row r="71" ht="24.5" customHeight="1">
      <c r="A71" s="137" t="n">
        <v>34</v>
      </c>
      <c r="B71" s="138" t="n">
        <v>1</v>
      </c>
      <c r="C71" s="139" t="inlineStr">
        <is>
          <t>PC</t>
        </is>
      </c>
      <c r="D71" s="140" t="inlineStr">
        <is>
          <t>TUBO PVC OCRE 300MM 6MT</t>
        </is>
      </c>
      <c r="E71" s="141" t="n"/>
      <c r="F71" s="142" t="n">
        <v>1169.21</v>
      </c>
      <c r="G71" s="143" t="n"/>
      <c r="H71" s="144">
        <f>F71*B71</f>
        <v/>
      </c>
    </row>
    <row r="72" ht="24.5" customHeight="1">
      <c r="A72" s="137" t="n">
        <v>35</v>
      </c>
      <c r="B72" s="138" t="n">
        <v>5</v>
      </c>
      <c r="C72" s="139" t="inlineStr">
        <is>
          <t>PC</t>
        </is>
      </c>
      <c r="D72" s="140" t="inlineStr">
        <is>
          <t>TUBO PVC OCRE 250MM 6MT</t>
        </is>
      </c>
      <c r="E72" s="141" t="n"/>
      <c r="F72" s="142" t="n">
        <v>728.004</v>
      </c>
      <c r="G72" s="143" t="n"/>
      <c r="H72" s="144">
        <f>F72*B72</f>
        <v/>
      </c>
    </row>
    <row r="73" ht="24.5" customHeight="1">
      <c r="A73" s="137" t="n">
        <v>36</v>
      </c>
      <c r="B73" s="138" t="n">
        <v>12</v>
      </c>
      <c r="C73" s="139" t="inlineStr">
        <is>
          <t>PC</t>
        </is>
      </c>
      <c r="D73" s="140" t="inlineStr">
        <is>
          <t>TUBO PVC OCRE 200MM 6MT</t>
        </is>
      </c>
      <c r="E73" s="141" t="n"/>
      <c r="F73" s="142" t="n">
        <v>434.5475</v>
      </c>
      <c r="G73" s="143" t="n"/>
      <c r="H73" s="144">
        <f>F73*B73</f>
        <v/>
      </c>
    </row>
    <row r="74" ht="24.5" customHeight="1">
      <c r="A74" s="137" t="n">
        <v>37</v>
      </c>
      <c r="B74" s="138" t="n">
        <v>13</v>
      </c>
      <c r="C74" s="139" t="inlineStr">
        <is>
          <t>TB</t>
        </is>
      </c>
      <c r="D74" s="140" t="inlineStr">
        <is>
          <t>TUBO SERIE R DN 150 6MT</t>
        </is>
      </c>
      <c r="E74" s="141" t="n"/>
      <c r="F74" s="142" t="n">
        <v>260.54615</v>
      </c>
      <c r="G74" s="143" t="n"/>
      <c r="H74" s="144">
        <f>F74*B74</f>
        <v/>
      </c>
    </row>
    <row r="75" ht="24.5" customHeight="1">
      <c r="A75" s="137" t="n">
        <v>38</v>
      </c>
      <c r="B75" s="138" t="n">
        <v>23</v>
      </c>
      <c r="C75" s="139" t="inlineStr">
        <is>
          <t>TB</t>
        </is>
      </c>
      <c r="D75" s="140" t="inlineStr">
        <is>
          <t>TUBO SERIE R DN 100 6MT</t>
        </is>
      </c>
      <c r="E75" s="141" t="n"/>
      <c r="F75" s="142" t="n">
        <v>129.55565</v>
      </c>
      <c r="G75" s="143" t="n"/>
      <c r="H75" s="144">
        <f>F75*B75</f>
        <v/>
      </c>
    </row>
    <row r="76" ht="24.5" customHeight="1">
      <c r="A76" s="137" t="n">
        <v>39</v>
      </c>
      <c r="B76" s="138" t="n">
        <v>7</v>
      </c>
      <c r="C76" s="139" t="inlineStr">
        <is>
          <t>TB</t>
        </is>
      </c>
      <c r="D76" s="140" t="inlineStr">
        <is>
          <t>TUBO SERIE R DN 75 6MT</t>
        </is>
      </c>
      <c r="E76" s="141" t="n"/>
      <c r="F76" s="142" t="n">
        <v>90.58143</v>
      </c>
      <c r="G76" s="143" t="n"/>
      <c r="H76" s="144">
        <f>F76*B76</f>
        <v/>
      </c>
    </row>
    <row r="77" ht="24.5" customHeight="1">
      <c r="A77" s="137" t="n">
        <v>40</v>
      </c>
      <c r="B77" s="138" t="n">
        <v>5</v>
      </c>
      <c r="C77" s="139" t="inlineStr">
        <is>
          <t>TB</t>
        </is>
      </c>
      <c r="D77" s="140" t="inlineStr">
        <is>
          <t>TUBO SERIE R DN 50 6MT</t>
        </is>
      </c>
      <c r="E77" s="141" t="n"/>
      <c r="F77" s="142" t="n">
        <v>53.278</v>
      </c>
      <c r="G77" s="143" t="n"/>
      <c r="H77" s="144">
        <f>F77*B77</f>
        <v/>
      </c>
    </row>
    <row r="78" ht="24.5" customHeight="1">
      <c r="A78" s="137" t="n">
        <v>41</v>
      </c>
      <c r="B78" s="138" t="n">
        <v>3</v>
      </c>
      <c r="C78" s="139" t="inlineStr">
        <is>
          <t>TB</t>
        </is>
      </c>
      <c r="D78" s="140" t="inlineStr">
        <is>
          <t>TUBO SERIE R DN 40 6MT</t>
        </is>
      </c>
      <c r="E78" s="141" t="n"/>
      <c r="F78" s="142" t="n">
        <v>40.23333</v>
      </c>
      <c r="G78" s="143" t="n"/>
      <c r="H78" s="144">
        <f>F78*B78</f>
        <v/>
      </c>
    </row>
    <row r="79" ht="24.5" customHeight="1">
      <c r="A79" s="137" t="n">
        <v>42</v>
      </c>
      <c r="B79" s="138" t="n">
        <v>6</v>
      </c>
      <c r="C79" s="139" t="inlineStr">
        <is>
          <t>PC</t>
        </is>
      </c>
      <c r="D79" s="140" t="inlineStr">
        <is>
          <t>COTOVELO S/ANEL 66MM</t>
        </is>
      </c>
      <c r="E79" s="141" t="n"/>
      <c r="F79" s="142" t="n">
        <v>143.80167</v>
      </c>
      <c r="G79" s="143" t="n"/>
      <c r="H79" s="144">
        <f>F79*B79</f>
        <v/>
      </c>
    </row>
    <row r="80" ht="24.5" customHeight="1">
      <c r="A80" s="137" t="n">
        <v>43</v>
      </c>
      <c r="B80" s="138" t="n">
        <v>2</v>
      </c>
      <c r="C80" s="139" t="inlineStr">
        <is>
          <t>PC</t>
        </is>
      </c>
      <c r="D80" s="140" t="inlineStr">
        <is>
          <t>COTOVELO 45 S/ANEL 66MM</t>
        </is>
      </c>
      <c r="E80" s="141" t="n"/>
      <c r="F80" s="142" t="n">
        <v>126.35</v>
      </c>
      <c r="G80" s="143" t="n"/>
      <c r="H80" s="144">
        <f>F80*B80</f>
        <v/>
      </c>
    </row>
    <row r="81" ht="24.5" customHeight="1">
      <c r="A81" s="137" t="n">
        <v>44</v>
      </c>
      <c r="B81" s="138" t="n">
        <v>1</v>
      </c>
      <c r="C81" s="139" t="inlineStr">
        <is>
          <t>PC</t>
        </is>
      </c>
      <c r="D81" s="140" t="inlineStr">
        <is>
          <t>TE S/ANEL 66MM</t>
        </is>
      </c>
      <c r="E81" s="141" t="n"/>
      <c r="F81" s="142" t="n">
        <v>175.44</v>
      </c>
      <c r="G81" s="143" t="n"/>
      <c r="H81" s="144">
        <f>F81*B81</f>
        <v/>
      </c>
    </row>
    <row r="82" ht="24.5" customHeight="1">
      <c r="A82" s="137" t="n">
        <v>45</v>
      </c>
      <c r="B82" s="138" t="n">
        <v>6</v>
      </c>
      <c r="C82" s="139" t="inlineStr">
        <is>
          <t>PC</t>
        </is>
      </c>
      <c r="D82" s="140" t="inlineStr">
        <is>
          <t>TUBO HIDROL CLASSE E 66MM</t>
        </is>
      </c>
      <c r="E82" s="141" t="n"/>
      <c r="F82" s="142" t="n">
        <v>1436.66167</v>
      </c>
      <c r="G82" s="143" t="n"/>
      <c r="H82" s="144">
        <f>F82*B82</f>
        <v/>
      </c>
    </row>
    <row r="83" ht="24.5" customHeight="1">
      <c r="A83" s="137" t="n">
        <v>46</v>
      </c>
      <c r="B83" s="138" t="n">
        <v>5</v>
      </c>
      <c r="C83" s="139" t="inlineStr">
        <is>
          <t>PC</t>
        </is>
      </c>
      <c r="D83" s="140" t="inlineStr">
        <is>
          <t>FITA VITOTHEME 50 X 30 PT</t>
        </is>
      </c>
      <c r="E83" s="141" t="n"/>
      <c r="F83" s="142" t="n">
        <v>48.65</v>
      </c>
      <c r="G83" s="143" t="n"/>
      <c r="H83" s="144">
        <f>F83*B83</f>
        <v/>
      </c>
    </row>
    <row r="84" ht="24.5" customHeight="1">
      <c r="A84" s="137" t="n">
        <v>47</v>
      </c>
      <c r="B84" s="138" t="n">
        <v>3</v>
      </c>
      <c r="C84" s="139" t="inlineStr">
        <is>
          <t>PC</t>
        </is>
      </c>
      <c r="D84" s="140" t="inlineStr">
        <is>
          <t>PASTA P/SOLDA 110G</t>
        </is>
      </c>
      <c r="E84" s="141" t="n"/>
      <c r="F84" s="142" t="n">
        <v>9.1</v>
      </c>
      <c r="G84" s="143" t="n"/>
      <c r="H84" s="144">
        <f>F84*B84</f>
        <v/>
      </c>
    </row>
    <row r="85" ht="24.5" customHeight="1">
      <c r="A85" s="137" t="n">
        <v>48</v>
      </c>
      <c r="B85" s="138" t="n">
        <v>4</v>
      </c>
      <c r="C85" s="139" t="inlineStr">
        <is>
          <t>PC</t>
        </is>
      </c>
      <c r="D85" s="140" t="inlineStr">
        <is>
          <t>SOLDA CTEL PT 50X50 500GR 2,4 MM FIO CHEIO</t>
        </is>
      </c>
      <c r="E85" s="141" t="n"/>
      <c r="F85" s="142" t="n">
        <v>115.92</v>
      </c>
      <c r="G85" s="143" t="n"/>
      <c r="H85" s="144">
        <f>F85*B85</f>
        <v/>
      </c>
    </row>
    <row r="86" ht="24.5" customHeight="1">
      <c r="A86" s="137" t="n">
        <v>49</v>
      </c>
      <c r="B86" s="138" t="n">
        <v>6</v>
      </c>
      <c r="C86" s="139" t="inlineStr">
        <is>
          <t>PC</t>
        </is>
      </c>
      <c r="D86" s="140" t="inlineStr">
        <is>
          <t>JOELHO SOLD 90 110MM</t>
        </is>
      </c>
      <c r="E86" s="141" t="n"/>
      <c r="F86" s="142" t="n">
        <v>206.70167</v>
      </c>
      <c r="G86" s="143" t="n"/>
      <c r="H86" s="144">
        <f>F86*B86</f>
        <v/>
      </c>
    </row>
    <row r="87" ht="24.5" customHeight="1">
      <c r="A87" s="137" t="n">
        <v>50</v>
      </c>
      <c r="B87" s="138" t="n">
        <v>10</v>
      </c>
      <c r="C87" s="139" t="inlineStr">
        <is>
          <t>PC</t>
        </is>
      </c>
      <c r="D87" s="140" t="inlineStr">
        <is>
          <t>JOELHO SOLD 90 50MM</t>
        </is>
      </c>
      <c r="E87" s="141" t="n"/>
      <c r="F87" s="142" t="n">
        <v>3.78</v>
      </c>
      <c r="G87" s="143" t="n"/>
      <c r="H87" s="144">
        <f>F87*B87</f>
        <v/>
      </c>
    </row>
    <row r="88" ht="24.5" customHeight="1">
      <c r="A88" s="137" t="n">
        <v>51</v>
      </c>
      <c r="B88" s="138" t="n">
        <v>20</v>
      </c>
      <c r="C88" s="139" t="inlineStr">
        <is>
          <t>PC</t>
        </is>
      </c>
      <c r="D88" s="140" t="inlineStr">
        <is>
          <t>JOELHO SOLD 90 25MM</t>
        </is>
      </c>
      <c r="E88" s="141" t="n"/>
      <c r="F88" s="142" t="n">
        <v>0.573</v>
      </c>
      <c r="G88" s="143" t="n"/>
      <c r="H88" s="144">
        <f>F88*B88</f>
        <v/>
      </c>
    </row>
    <row r="89" ht="24.5" customHeight="1">
      <c r="A89" s="137" t="n">
        <v>52</v>
      </c>
      <c r="B89" s="138" t="n">
        <v>2</v>
      </c>
      <c r="C89" s="139" t="inlineStr">
        <is>
          <t>PC</t>
        </is>
      </c>
      <c r="D89" s="140" t="inlineStr">
        <is>
          <t>JOELHO SOLD 45 110MM</t>
        </is>
      </c>
      <c r="E89" s="141" t="n"/>
      <c r="F89" s="142" t="n">
        <v>206.205</v>
      </c>
      <c r="G89" s="143" t="n"/>
      <c r="H89" s="144">
        <f>F89*B89</f>
        <v/>
      </c>
    </row>
    <row r="90" ht="24.5" customHeight="1">
      <c r="A90" s="137" t="n">
        <v>53</v>
      </c>
      <c r="B90" s="138" t="n">
        <v>8</v>
      </c>
      <c r="C90" s="139" t="inlineStr">
        <is>
          <t>PC</t>
        </is>
      </c>
      <c r="D90" s="140" t="inlineStr">
        <is>
          <t>JOELHO SOLD 45 25MM</t>
        </is>
      </c>
      <c r="E90" s="141" t="n"/>
      <c r="F90" s="142" t="n">
        <v>1.26</v>
      </c>
      <c r="G90" s="143" t="n"/>
      <c r="H90" s="144">
        <f>F90*B90</f>
        <v/>
      </c>
    </row>
    <row r="91" ht="24.5" customHeight="1">
      <c r="A91" s="137" t="n">
        <v>54</v>
      </c>
      <c r="B91" s="138" t="n">
        <v>1</v>
      </c>
      <c r="C91" s="139" t="inlineStr">
        <is>
          <t>PC</t>
        </is>
      </c>
      <c r="D91" s="140" t="inlineStr">
        <is>
          <t>LUVA SOLD 110 MM</t>
        </is>
      </c>
      <c r="E91" s="141" t="n"/>
      <c r="F91" s="142" t="n">
        <v>74.78</v>
      </c>
      <c r="G91" s="143" t="n"/>
      <c r="H91" s="144">
        <f>F91*B91</f>
        <v/>
      </c>
    </row>
    <row r="92" ht="24.5" customHeight="1">
      <c r="A92" s="137" t="n">
        <v>55</v>
      </c>
      <c r="B92" s="138" t="n">
        <v>5</v>
      </c>
      <c r="C92" s="139" t="inlineStr">
        <is>
          <t>PC</t>
        </is>
      </c>
      <c r="D92" s="140" t="inlineStr">
        <is>
          <t>LUVA SOLD 50 MM</t>
        </is>
      </c>
      <c r="E92" s="141" t="n"/>
      <c r="F92" s="142" t="n">
        <v>2.596</v>
      </c>
      <c r="G92" s="143" t="n"/>
      <c r="H92" s="144">
        <f>F92*B92</f>
        <v/>
      </c>
    </row>
    <row r="93" ht="24.5" customHeight="1">
      <c r="A93" s="137" t="n">
        <v>56</v>
      </c>
      <c r="B93" s="138" t="n">
        <v>8</v>
      </c>
      <c r="C93" s="139" t="inlineStr">
        <is>
          <t>PC</t>
        </is>
      </c>
      <c r="D93" s="140" t="inlineStr">
        <is>
          <t>LUVA SOLD 25 MM</t>
        </is>
      </c>
      <c r="E93" s="141" t="n"/>
      <c r="F93" s="142" t="n">
        <v>0.5725</v>
      </c>
      <c r="G93" s="143" t="n"/>
      <c r="H93" s="144">
        <f>F93*B93</f>
        <v/>
      </c>
    </row>
    <row r="94" ht="24.5" customHeight="1">
      <c r="A94" s="137" t="n">
        <v>57</v>
      </c>
      <c r="B94" s="138" t="n">
        <v>3</v>
      </c>
      <c r="C94" s="139" t="inlineStr">
        <is>
          <t>TB</t>
        </is>
      </c>
      <c r="D94" s="140" t="inlineStr">
        <is>
          <t>TUBO SOLD 110 MM 6MT</t>
        </is>
      </c>
      <c r="E94" s="141" t="n"/>
      <c r="F94" s="142" t="n">
        <v>587.63</v>
      </c>
      <c r="G94" s="143" t="n"/>
      <c r="H94" s="144">
        <f>F94*B94</f>
        <v/>
      </c>
    </row>
    <row r="95" ht="24.5" customHeight="1">
      <c r="A95" s="137" t="n">
        <v>58</v>
      </c>
      <c r="B95" s="138" t="n">
        <v>6</v>
      </c>
      <c r="C95" s="139" t="inlineStr">
        <is>
          <t>TB</t>
        </is>
      </c>
      <c r="D95" s="140" t="inlineStr">
        <is>
          <t>TUBO SOLD 50 MM 6MT</t>
        </is>
      </c>
      <c r="E95" s="141" t="n"/>
      <c r="F95" s="142" t="n">
        <v>74.485</v>
      </c>
      <c r="G95" s="143" t="n"/>
      <c r="H95" s="144">
        <f>F95*B95</f>
        <v/>
      </c>
    </row>
    <row r="96" ht="24.5" customHeight="1">
      <c r="A96" s="137" t="n">
        <v>59</v>
      </c>
      <c r="B96" s="138" t="n">
        <v>14</v>
      </c>
      <c r="C96" s="139" t="inlineStr">
        <is>
          <t>TB</t>
        </is>
      </c>
      <c r="D96" s="140" t="inlineStr">
        <is>
          <t>TUBO SOLD 25 MM 6MT</t>
        </is>
      </c>
      <c r="E96" s="141" t="n"/>
      <c r="F96" s="142" t="n">
        <v>19.78357</v>
      </c>
      <c r="G96" s="143" t="n"/>
      <c r="H96" s="144">
        <f>F96*B96</f>
        <v/>
      </c>
    </row>
    <row r="97" ht="24.5" customHeight="1">
      <c r="A97" s="137" t="n">
        <v>60</v>
      </c>
      <c r="B97" s="138" t="n">
        <v>8</v>
      </c>
      <c r="C97" s="139" t="inlineStr">
        <is>
          <t>PC</t>
        </is>
      </c>
      <c r="D97" s="140" t="inlineStr">
        <is>
          <t>ADESIVO FRAS 850G</t>
        </is>
      </c>
      <c r="E97" s="141" t="n"/>
      <c r="F97" s="142" t="n">
        <v>40.45625</v>
      </c>
      <c r="G97" s="143" t="n"/>
      <c r="H97" s="144">
        <f>F97*B97</f>
        <v/>
      </c>
    </row>
    <row r="98" ht="24.5" customHeight="1">
      <c r="A98" s="137" t="n">
        <v>61</v>
      </c>
      <c r="B98" s="138" t="n">
        <v>6</v>
      </c>
      <c r="C98" s="139" t="inlineStr">
        <is>
          <t>PC</t>
        </is>
      </c>
      <c r="D98" s="140" t="inlineStr">
        <is>
          <t>PASTA LUBRIF 1000G C/ BICO APLIC</t>
        </is>
      </c>
      <c r="E98" s="141" t="n"/>
      <c r="F98" s="142" t="n">
        <v>32.44833</v>
      </c>
      <c r="G98" s="143" t="n"/>
      <c r="H98" s="144">
        <f>F98*B98</f>
        <v/>
      </c>
    </row>
    <row r="99" ht="24.5" customHeight="1">
      <c r="A99" s="137" t="n">
        <v>62</v>
      </c>
      <c r="B99" s="138" t="n">
        <v>20</v>
      </c>
      <c r="C99" s="139" t="inlineStr">
        <is>
          <t>PC</t>
        </is>
      </c>
      <c r="D99" s="140" t="inlineStr">
        <is>
          <t>LIXA FERRO 100</t>
        </is>
      </c>
      <c r="E99" s="141" t="n"/>
      <c r="F99" s="142" t="n">
        <v>2.611</v>
      </c>
      <c r="G99" s="143" t="n"/>
      <c r="H99" s="144">
        <f>F99*B99</f>
        <v/>
      </c>
    </row>
    <row r="100" ht="24.5" customHeight="1">
      <c r="A100" s="137" t="n">
        <v>63</v>
      </c>
      <c r="B100" s="138" t="n">
        <v>5</v>
      </c>
      <c r="C100" s="139" t="inlineStr">
        <is>
          <t>PC</t>
        </is>
      </c>
      <c r="D100" s="140" t="inlineStr">
        <is>
          <t>SERRA MANUAL BIMETAL 12 24D UNIQUE</t>
        </is>
      </c>
      <c r="E100" s="141" t="n"/>
      <c r="F100" s="142" t="n">
        <v>13.742</v>
      </c>
      <c r="G100" s="143" t="n"/>
      <c r="H100" s="144">
        <f>F100*B100</f>
        <v/>
      </c>
    </row>
    <row r="101" ht="15" customHeight="1">
      <c r="A101" s="145" t="n"/>
      <c r="B101" s="146" t="n"/>
      <c r="C101" s="146" t="n"/>
      <c r="D101" s="147" t="n"/>
      <c r="E101" s="148" t="n"/>
      <c r="F101" s="149" t="n"/>
      <c r="G101" s="146" t="n"/>
      <c r="H101" s="150" t="n"/>
    </row>
    <row r="102">
      <c r="A102" s="151" t="n"/>
      <c r="B102" s="123" t="n"/>
      <c r="C102" s="123" t="n"/>
      <c r="D102" s="123" t="n"/>
      <c r="E102" s="152" t="n"/>
      <c r="F102" s="98" t="inlineStr">
        <is>
          <t>SUB-TOTAL</t>
        </is>
      </c>
      <c r="G102" s="153" t="n"/>
      <c r="H102" s="63">
        <f>SUM(H38:H100)</f>
        <v/>
      </c>
    </row>
    <row r="103">
      <c r="A103" s="154" t="n"/>
      <c r="E103" s="155" t="n"/>
      <c r="F103" s="98" t="inlineStr">
        <is>
          <t>FRETE</t>
        </is>
      </c>
      <c r="G103" s="153" t="n"/>
      <c r="H103" s="63" t="n">
        <v>0</v>
      </c>
    </row>
    <row r="104">
      <c r="A104" s="156" t="n"/>
      <c r="B104" s="126" t="n"/>
      <c r="C104" s="126" t="n"/>
      <c r="D104" s="126" t="n"/>
      <c r="E104" s="157" t="n"/>
      <c r="F104" s="98" t="inlineStr">
        <is>
          <t>TOTAL GERAL</t>
        </is>
      </c>
      <c r="G104" s="153" t="n"/>
      <c r="H104" s="63">
        <f>H102+H103</f>
        <v/>
      </c>
    </row>
    <row r="105" ht="9" customHeight="1">
      <c r="A105" s="36" t="n"/>
      <c r="B105" s="37" t="n"/>
      <c r="C105" s="37" t="n"/>
      <c r="D105" s="38" t="n"/>
      <c r="E105" s="38" t="n"/>
      <c r="F105" s="39" t="n"/>
      <c r="G105" s="39" t="n"/>
      <c r="H105" s="40" t="n"/>
    </row>
    <row r="106">
      <c r="A106" s="41" t="inlineStr">
        <is>
          <t>Data prevista pagamento:</t>
        </is>
      </c>
      <c r="B106" s="42" t="n"/>
      <c r="C106" s="99" t="inlineStr">
        <is>
          <t>28 DDL</t>
        </is>
      </c>
      <c r="D106" s="153" t="n"/>
      <c r="E106" s="43" t="n"/>
      <c r="F106" s="41" t="inlineStr">
        <is>
          <t>Prazo de Entrega:</t>
        </is>
      </c>
      <c r="G106" s="44" t="n"/>
      <c r="H106" s="45" t="inlineStr">
        <is>
          <t>Até 2 dias</t>
        </is>
      </c>
    </row>
    <row r="107">
      <c r="A107" s="118" t="inlineStr">
        <is>
          <t>Observações:</t>
        </is>
      </c>
      <c r="B107" s="119" t="n"/>
      <c r="C107" s="158" t="n"/>
      <c r="D107" s="158" t="n"/>
      <c r="E107" s="158" t="n"/>
      <c r="F107" s="159" t="n"/>
      <c r="G107" s="159" t="n"/>
      <c r="H107" s="66" t="n"/>
    </row>
    <row r="108" ht="19.5" customHeight="1">
      <c r="A108" s="160" t="inlineStr">
        <is>
          <t>PEDIDO DO FORNECEDOR:</t>
        </is>
      </c>
      <c r="B108" s="161" t="n"/>
      <c r="C108" s="162" t="inlineStr">
        <is>
          <t>847.627</t>
        </is>
      </c>
      <c r="D108" s="162" t="n"/>
      <c r="E108" s="162" t="n"/>
      <c r="F108" s="163" t="n"/>
      <c r="G108" s="163" t="n"/>
      <c r="H108" s="55" t="n"/>
    </row>
    <row r="109" ht="19.5" customHeight="1">
      <c r="A109" s="160" t="inlineStr">
        <is>
          <t>Enviar dados para depósito junto com a NF. Frete CIF. Impostos inclusos. Sem IPI conforme cotação.</t>
        </is>
      </c>
      <c r="B109" s="161" t="n"/>
      <c r="C109" s="162" t="n"/>
      <c r="D109" s="162" t="n"/>
      <c r="E109" s="162" t="n"/>
      <c r="F109" s="163" t="n"/>
      <c r="G109" s="163" t="n"/>
      <c r="H109" s="55" t="n"/>
    </row>
    <row r="110">
      <c r="A110" s="164" t="inlineStr">
        <is>
          <t>Inserir na obs da nota fiscal referente ao pedido 002-HIDRAULICA de hidráulica</t>
        </is>
      </c>
      <c r="H110" s="165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  <c r="AF110" s="121" t="n"/>
      <c r="AG110" s="121" t="n"/>
      <c r="AH110" s="121" t="n"/>
      <c r="AI110" s="121" t="n"/>
      <c r="AJ110" s="121" t="n"/>
      <c r="AK110" s="121" t="n"/>
      <c r="AL110" s="121" t="n"/>
      <c r="AM110" s="121" t="n"/>
      <c r="AN110" s="121" t="n"/>
      <c r="AO110" s="121" t="n"/>
      <c r="AP110" s="121" t="n"/>
      <c r="AQ110" s="121" t="n"/>
      <c r="AR110" s="121" t="n"/>
      <c r="AS110" s="121" t="n"/>
      <c r="AT110" s="121" t="n"/>
      <c r="AU110" s="121" t="n"/>
      <c r="AV110" s="121" t="n"/>
      <c r="AW110" s="121" t="n"/>
      <c r="AX110" s="121" t="n"/>
      <c r="AY110" s="121" t="n"/>
      <c r="AZ110" s="121" t="n"/>
      <c r="BA110" s="121" t="n"/>
      <c r="BB110" s="121" t="n"/>
      <c r="BC110" s="121" t="n"/>
      <c r="BD110" s="121" t="n"/>
      <c r="BE110" s="121" t="n"/>
      <c r="BF110" s="121" t="n"/>
      <c r="BG110" s="121" t="n"/>
      <c r="BH110" s="121" t="n"/>
      <c r="BI110" s="121" t="n"/>
      <c r="BJ110" s="121" t="n"/>
      <c r="BK110" s="121" t="n"/>
      <c r="BL110" s="121" t="n"/>
      <c r="BM110" s="121" t="n"/>
      <c r="BN110" s="121" t="n"/>
      <c r="BO110" s="121" t="n"/>
      <c r="BP110" s="121" t="n"/>
      <c r="BQ110" s="121" t="n"/>
      <c r="BR110" s="121" t="n"/>
      <c r="BS110" s="121" t="n"/>
      <c r="BT110" s="121" t="n"/>
      <c r="BU110" s="121" t="n"/>
      <c r="BV110" s="121" t="n"/>
      <c r="BW110" s="121" t="n"/>
      <c r="BX110" s="121" t="n"/>
      <c r="BY110" s="121" t="n"/>
      <c r="BZ110" s="121" t="n"/>
      <c r="CA110" s="121" t="n"/>
      <c r="CB110" s="121" t="n"/>
      <c r="CC110" s="121" t="n"/>
      <c r="CD110" s="121" t="n"/>
      <c r="CE110" s="121" t="n"/>
      <c r="CF110" s="121" t="n"/>
      <c r="CG110" s="121" t="n"/>
      <c r="CH110" s="121" t="n"/>
      <c r="CI110" s="121" t="n"/>
      <c r="CJ110" s="121" t="n"/>
      <c r="CK110" s="121" t="n"/>
      <c r="CL110" s="121" t="n"/>
      <c r="CM110" s="121" t="n"/>
      <c r="CN110" s="121" t="n"/>
      <c r="CO110" s="121" t="n"/>
      <c r="CP110" s="121" t="n"/>
      <c r="CQ110" s="121" t="n"/>
      <c r="CR110" s="121" t="n"/>
      <c r="CS110" s="121" t="n"/>
      <c r="CT110" s="121" t="n"/>
      <c r="CU110" s="121" t="n"/>
      <c r="CV110" s="121" t="n"/>
      <c r="CW110" s="121" t="n"/>
      <c r="CX110" s="121" t="n"/>
      <c r="CY110" s="121" t="n"/>
      <c r="CZ110" s="121" t="n"/>
      <c r="DA110" s="121" t="n"/>
      <c r="DB110" s="121" t="n"/>
      <c r="DC110" s="121" t="n"/>
      <c r="DD110" s="121" t="n"/>
      <c r="DE110" s="121" t="n"/>
      <c r="DF110" s="121" t="n"/>
      <c r="DG110" s="121" t="n"/>
      <c r="DH110" s="121" t="n"/>
      <c r="DI110" s="121" t="n"/>
      <c r="DJ110" s="121" t="n"/>
      <c r="DK110" s="121" t="n"/>
      <c r="DL110" s="121" t="n"/>
      <c r="DM110" s="121" t="n"/>
      <c r="DN110" s="121" t="n"/>
      <c r="DO110" s="121" t="n"/>
      <c r="DP110" s="121" t="n"/>
      <c r="DQ110" s="121" t="n"/>
      <c r="DR110" s="121" t="n"/>
      <c r="DS110" s="121" t="n"/>
      <c r="DT110" s="121" t="n"/>
      <c r="DU110" s="121" t="n"/>
      <c r="DV110" s="121" t="n"/>
      <c r="DW110" s="121" t="n"/>
      <c r="DX110" s="121" t="n"/>
      <c r="DY110" s="121" t="n"/>
      <c r="DZ110" s="121" t="n"/>
      <c r="EA110" s="121" t="n"/>
      <c r="EB110" s="121" t="n"/>
      <c r="EC110" s="121" t="n"/>
      <c r="ED110" s="121" t="n"/>
      <c r="EE110" s="121" t="n"/>
      <c r="EF110" s="121" t="n"/>
      <c r="EG110" s="121" t="n"/>
      <c r="EH110" s="121" t="n"/>
      <c r="EI110" s="121" t="n"/>
      <c r="EJ110" s="121" t="n"/>
      <c r="EK110" s="121" t="n"/>
      <c r="EL110" s="121" t="n"/>
      <c r="EM110" s="121" t="n"/>
      <c r="EN110" s="121" t="n"/>
      <c r="EO110" s="121" t="n"/>
      <c r="EP110" s="121" t="n"/>
      <c r="EQ110" s="121" t="n"/>
      <c r="ER110" s="121" t="n"/>
      <c r="ES110" s="121" t="n"/>
      <c r="ET110" s="121" t="n"/>
      <c r="EU110" s="121" t="n"/>
      <c r="EV110" s="121" t="n"/>
      <c r="EW110" s="121" t="n"/>
      <c r="EX110" s="121" t="n"/>
      <c r="EY110" s="121" t="n"/>
      <c r="EZ110" s="121" t="n"/>
      <c r="FA110" s="121" t="n"/>
      <c r="FB110" s="121" t="n"/>
      <c r="FC110" s="121" t="n"/>
      <c r="FD110" s="121" t="n"/>
      <c r="FE110" s="121" t="n"/>
      <c r="FF110" s="121" t="n"/>
      <c r="FG110" s="121" t="n"/>
      <c r="FH110" s="121" t="n"/>
      <c r="FI110" s="121" t="n"/>
      <c r="FJ110" s="121" t="n"/>
      <c r="FK110" s="121" t="n"/>
      <c r="FL110" s="121" t="n"/>
      <c r="FM110" s="121" t="n"/>
      <c r="FN110" s="121" t="n"/>
      <c r="FO110" s="121" t="n"/>
      <c r="FP110" s="121" t="n"/>
      <c r="FQ110" s="121" t="n"/>
      <c r="FR110" s="121" t="n"/>
      <c r="FS110" s="121" t="n"/>
      <c r="FT110" s="121" t="n"/>
      <c r="FU110" s="121" t="n"/>
      <c r="FV110" s="121" t="n"/>
      <c r="FW110" s="121" t="n"/>
      <c r="FX110" s="121" t="n"/>
      <c r="FY110" s="121" t="n"/>
      <c r="FZ110" s="121" t="n"/>
      <c r="GA110" s="121" t="n"/>
      <c r="GB110" s="121" t="n"/>
      <c r="GC110" s="121" t="n"/>
      <c r="GD110" s="121" t="n"/>
      <c r="GE110" s="121" t="n"/>
      <c r="GF110" s="121" t="n"/>
      <c r="GG110" s="121" t="n"/>
      <c r="GH110" s="121" t="n"/>
      <c r="GI110" s="121" t="n"/>
      <c r="GJ110" s="121" t="n"/>
      <c r="GK110" s="121" t="n"/>
      <c r="GL110" s="121" t="n"/>
      <c r="GM110" s="121" t="n"/>
      <c r="GN110" s="121" t="n"/>
      <c r="GO110" s="121" t="n"/>
      <c r="GP110" s="121" t="n"/>
      <c r="GQ110" s="121" t="n"/>
      <c r="GR110" s="121" t="n"/>
      <c r="GS110" s="121" t="n"/>
      <c r="GT110" s="121" t="n"/>
      <c r="GU110" s="121" t="n"/>
      <c r="GV110" s="121" t="n"/>
      <c r="GW110" s="121" t="n"/>
      <c r="GX110" s="121" t="n"/>
      <c r="GY110" s="121" t="n"/>
      <c r="GZ110" s="121" t="n"/>
      <c r="HA110" s="121" t="n"/>
      <c r="HB110" s="121" t="n"/>
      <c r="HC110" s="121" t="n"/>
      <c r="HD110" s="121" t="n"/>
      <c r="HE110" s="121" t="n"/>
      <c r="HF110" s="121" t="n"/>
      <c r="HG110" s="121" t="n"/>
      <c r="HH110" s="121" t="n"/>
      <c r="HI110" s="121" t="n"/>
      <c r="HJ110" s="121" t="n"/>
      <c r="HK110" s="121" t="n"/>
      <c r="HL110" s="121" t="n"/>
      <c r="HM110" s="121" t="n"/>
      <c r="HN110" s="121" t="n"/>
      <c r="HO110" s="121" t="n"/>
      <c r="HP110" s="121" t="n"/>
      <c r="HQ110" s="121" t="n"/>
      <c r="HR110" s="121" t="n"/>
      <c r="HS110" s="121" t="n"/>
      <c r="HT110" s="121" t="n"/>
      <c r="HU110" s="121" t="n"/>
      <c r="HV110" s="121" t="n"/>
      <c r="HW110" s="121" t="n"/>
      <c r="HX110" s="121" t="n"/>
      <c r="HY110" s="121" t="n"/>
      <c r="HZ110" s="121" t="n"/>
      <c r="IA110" s="121" t="n"/>
      <c r="IB110" s="121" t="n"/>
      <c r="IC110" s="121" t="n"/>
      <c r="ID110" s="121" t="n"/>
      <c r="IE110" s="121" t="n"/>
      <c r="IF110" s="121" t="n"/>
      <c r="IG110" s="121" t="n"/>
      <c r="IH110" s="121" t="n"/>
      <c r="II110" s="121" t="n"/>
      <c r="IJ110" s="121" t="n"/>
      <c r="IK110" s="121" t="n"/>
      <c r="IL110" s="121" t="n"/>
      <c r="IM110" s="121" t="n"/>
      <c r="IN110" s="121" t="n"/>
      <c r="IO110" s="121" t="n"/>
      <c r="IP110" s="121" t="n"/>
      <c r="IQ110" s="121" t="n"/>
      <c r="IR110" s="121" t="n"/>
      <c r="IS110" s="121" t="n"/>
      <c r="IT110" s="121" t="n"/>
      <c r="IU110" s="121" t="n"/>
      <c r="IV110" s="121" t="n"/>
      <c r="IW110" s="121" t="n"/>
    </row>
    <row r="111">
      <c r="A111" s="154" t="n"/>
      <c r="H111" s="165" t="n"/>
    </row>
    <row r="112">
      <c r="A112" s="118" t="inlineStr">
        <is>
          <t>" A BELA VISTA RESERVA-SE NO DIREITO DE NÃO ACEITAR TÍTULOS NEGOCIADOS COM TERCEIROS"</t>
        </is>
      </c>
      <c r="B112" s="119" t="n"/>
      <c r="C112" s="166" t="n"/>
      <c r="D112" s="166" t="n"/>
      <c r="E112" s="166" t="n"/>
      <c r="F112" s="167" t="n"/>
      <c r="G112" s="167" t="n"/>
      <c r="H112" s="50" t="n"/>
    </row>
    <row r="113" ht="15.75" customHeight="1">
      <c r="A113" s="168" t="inlineStr">
        <is>
          <t xml:space="preserve">APROVAÇÃO: </t>
        </is>
      </c>
      <c r="E113" t="inlineStr">
        <is>
          <t>DATA:</t>
        </is>
      </c>
    </row>
    <row r="114" ht="42.75" customHeight="1">
      <c r="A114" s="56" t="n"/>
      <c r="B114" s="57" t="n"/>
      <c r="C114" s="58" t="n"/>
      <c r="D114" s="59" t="n"/>
      <c r="E114" s="60" t="n"/>
      <c r="F114" s="61" t="n"/>
      <c r="G114" s="61" t="n"/>
      <c r="H114" s="62" t="n"/>
    </row>
  </sheetData>
  <mergeCells count="106">
    <mergeCell ref="D35:H35"/>
    <mergeCell ref="D60:E60"/>
    <mergeCell ref="B7:C7"/>
    <mergeCell ref="D100:E100"/>
    <mergeCell ref="D10:H10"/>
    <mergeCell ref="D63:E63"/>
    <mergeCell ref="F103:G103"/>
    <mergeCell ref="D19:H19"/>
    <mergeCell ref="D81:E81"/>
    <mergeCell ref="G5:H6"/>
    <mergeCell ref="D84:E84"/>
    <mergeCell ref="A110:H110"/>
    <mergeCell ref="D65:E65"/>
    <mergeCell ref="D45:E45"/>
    <mergeCell ref="D96:E96"/>
    <mergeCell ref="D21:H21"/>
    <mergeCell ref="D77:E77"/>
    <mergeCell ref="D52:E52"/>
    <mergeCell ref="D86:E86"/>
    <mergeCell ref="A25:H25"/>
    <mergeCell ref="D49:E49"/>
    <mergeCell ref="D11:H11"/>
    <mergeCell ref="D61:E61"/>
    <mergeCell ref="D32:H32"/>
    <mergeCell ref="D70:E70"/>
    <mergeCell ref="D48:E48"/>
    <mergeCell ref="D91:E91"/>
    <mergeCell ref="D16:H16"/>
    <mergeCell ref="D72:E72"/>
    <mergeCell ref="D78:E78"/>
    <mergeCell ref="D28:H28"/>
    <mergeCell ref="D93:E93"/>
    <mergeCell ref="D62:E62"/>
    <mergeCell ref="D56:E56"/>
    <mergeCell ref="D71:E71"/>
    <mergeCell ref="F102:G102"/>
    <mergeCell ref="D18:H18"/>
    <mergeCell ref="A8:H8"/>
    <mergeCell ref="C106:D106"/>
    <mergeCell ref="A17:H17"/>
    <mergeCell ref="D83:E83"/>
    <mergeCell ref="D30:H30"/>
    <mergeCell ref="D92:E92"/>
    <mergeCell ref="D55:E55"/>
    <mergeCell ref="D64:E64"/>
    <mergeCell ref="D98:E98"/>
    <mergeCell ref="D67:E67"/>
    <mergeCell ref="D73:E73"/>
    <mergeCell ref="D51:E51"/>
    <mergeCell ref="D29:H29"/>
    <mergeCell ref="D23:H23"/>
    <mergeCell ref="D85:E85"/>
    <mergeCell ref="D54:E54"/>
    <mergeCell ref="A102:E104"/>
    <mergeCell ref="D88:E88"/>
    <mergeCell ref="D94:E94"/>
    <mergeCell ref="A31:H31"/>
    <mergeCell ref="A9:H9"/>
    <mergeCell ref="D69:E69"/>
    <mergeCell ref="D20:H20"/>
    <mergeCell ref="D34:H34"/>
    <mergeCell ref="D90:E90"/>
    <mergeCell ref="D99:E99"/>
    <mergeCell ref="D46:E46"/>
    <mergeCell ref="D40:E40"/>
    <mergeCell ref="D80:E80"/>
    <mergeCell ref="D22:H22"/>
    <mergeCell ref="D36:H36"/>
    <mergeCell ref="D95:E95"/>
    <mergeCell ref="D101:E101"/>
    <mergeCell ref="A108:B108"/>
    <mergeCell ref="D57:E57"/>
    <mergeCell ref="D76:E76"/>
    <mergeCell ref="G1:H2"/>
    <mergeCell ref="D13:H13"/>
    <mergeCell ref="F104:G104"/>
    <mergeCell ref="D27:H27"/>
    <mergeCell ref="D41:E41"/>
    <mergeCell ref="D97:E97"/>
    <mergeCell ref="D66:E66"/>
    <mergeCell ref="D75:E75"/>
    <mergeCell ref="D53:E53"/>
    <mergeCell ref="D47:E47"/>
    <mergeCell ref="D87:E87"/>
    <mergeCell ref="D43:E43"/>
    <mergeCell ref="D37:E37"/>
    <mergeCell ref="D58:E58"/>
    <mergeCell ref="D39:E39"/>
    <mergeCell ref="D12:H12"/>
    <mergeCell ref="D74:E74"/>
    <mergeCell ref="D15:H15"/>
    <mergeCell ref="D42:E42"/>
    <mergeCell ref="D68:E68"/>
    <mergeCell ref="D82:E82"/>
    <mergeCell ref="D24:H24"/>
    <mergeCell ref="D33:H33"/>
    <mergeCell ref="D79:E79"/>
    <mergeCell ref="D38:E38"/>
    <mergeCell ref="A112:H112"/>
    <mergeCell ref="D89:E89"/>
    <mergeCell ref="D14:H14"/>
    <mergeCell ref="D50:E50"/>
    <mergeCell ref="D44:E44"/>
    <mergeCell ref="D59:E59"/>
    <mergeCell ref="D26:H26"/>
    <mergeCell ref="G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2026-05-21T22:20:28Z</dcterms:created>
  <dcterms:modified xsi:type="dcterms:W3CDTF">2026-06-19T09:56:38Z</dcterms:modified>
  <cp:lastModifiedBy>Felipe Barcelos</cp:lastModifiedBy>
</cp:coreProperties>
</file>