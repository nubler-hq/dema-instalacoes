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felipebarcelospro/Sandbox/nubler/dema-instalacoes/.fractal/artifacts/docs/projects/or-ryt-paulista/requests/"/>
    </mc:Choice>
  </mc:AlternateContent>
  <xr:revisionPtr revIDLastSave="0" documentId="13_ncr:1_{978156C5-7810-BB4C-A901-84C3EC71FAD5}" xr6:coauthVersionLast="47" xr6:coauthVersionMax="47" xr10:uidLastSave="{00000000-0000-0000-0000-000000000000}"/>
  <bookViews>
    <workbookView xWindow="0" yWindow="600" windowWidth="76800" windowHeight="41020" xr2:uid="{00000000-000D-0000-FFFF-FFFF00000000}"/>
  </bookViews>
  <sheets>
    <sheet name="Baume" sheetId="1" r:id="rId1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6" i="1" l="1"/>
  <c r="H45" i="1"/>
  <c r="H44" i="1"/>
  <c r="H43" i="1"/>
  <c r="H42" i="1"/>
  <c r="H41" i="1"/>
  <c r="H40" i="1"/>
  <c r="H39" i="1"/>
  <c r="H38" i="1"/>
  <c r="H48" i="1" s="1"/>
  <c r="H50" i="1" s="1"/>
</calcChain>
</file>

<file path=xl/sharedStrings.xml><?xml version="1.0" encoding="utf-8"?>
<sst xmlns="http://schemas.openxmlformats.org/spreadsheetml/2006/main" count="92" uniqueCount="67">
  <si>
    <t>PEDIDO DE COMPRA</t>
  </si>
  <si>
    <t>PEDIDO Nº:</t>
  </si>
  <si>
    <t>EMPREENDIMENTO:</t>
  </si>
  <si>
    <t>DATA:</t>
  </si>
  <si>
    <t>DADOS DA EMPRESA CONTRATADA DIRETAMENTE PELA BELA VISTA</t>
  </si>
  <si>
    <t>Razão Social:</t>
  </si>
  <si>
    <t>C.N.P.J:</t>
  </si>
  <si>
    <t>I.E:</t>
  </si>
  <si>
    <t>Endereço:</t>
  </si>
  <si>
    <t>Telefone:</t>
  </si>
  <si>
    <t>Email:</t>
  </si>
  <si>
    <t>Nome do contato:</t>
  </si>
  <si>
    <t>DADOS DO FORNECEDOR TERCEIRO</t>
  </si>
  <si>
    <t>DADOS PARA FATURAMENTO</t>
  </si>
  <si>
    <t>DADOS PARA ENTREGA</t>
  </si>
  <si>
    <t>CÓD. DO ITEM</t>
  </si>
  <si>
    <t>QUANT.</t>
  </si>
  <si>
    <t>UN.</t>
  </si>
  <si>
    <t>PRODUTO</t>
  </si>
  <si>
    <t>R$ UNIT.</t>
  </si>
  <si>
    <t>% IPI</t>
  </si>
  <si>
    <t>R$ SUB-TOTAL</t>
  </si>
  <si>
    <t>Data prevista pagamento:</t>
  </si>
  <si>
    <t>Prazo de Entrega:</t>
  </si>
  <si>
    <t>" A BELA VISTA RESERVA-SE NO DIREITO DE NÃO ACEITAR TÍTULOS NEGOCIADOS COM TERCEIROS"</t>
  </si>
  <si>
    <t xml:space="preserve">APROVAÇÃO: </t>
  </si>
  <si>
    <t>RYT PAULISTA</t>
  </si>
  <si>
    <t>18/05/2026</t>
  </si>
  <si>
    <t>DEMA INSTALAÇÕES ELÉTRICAS, HIDRÁULICAS E MANUTENÇÕES LTDA</t>
  </si>
  <si>
    <t>07.944.979/0001-03</t>
  </si>
  <si>
    <t>126.622.481.114</t>
  </si>
  <si>
    <t>Av. Brigadeiro Luís Antônio, 3097, Jardim Paulista, São Paulo - SP</t>
  </si>
  <si>
    <t>(11) 94794-1317</t>
  </si>
  <si>
    <t>vendas@demainstalacoes.com.br</t>
  </si>
  <si>
    <t>Rebeca Meneses</t>
  </si>
  <si>
    <t>PASS-PRO PASSANTES EM EPE LTDA</t>
  </si>
  <si>
    <t>747.027.658.119</t>
  </si>
  <si>
    <t>Rua Salvador Perez, 136 - Residencial dos Imigrantes - Holambra/SP - CEP 13828-324</t>
  </si>
  <si>
    <t>BELA VISTA EMPREENDIMENTO IMOBILIÁRIO S.A.</t>
  </si>
  <si>
    <t>AV DAS NAÇÕES UNIDAS, 14401 - ANDAR 5 B1 - VILA GERTRUDES - SÃO PAULO/SP</t>
  </si>
  <si>
    <t>47.312.779/0001-44</t>
  </si>
  <si>
    <t>-</t>
  </si>
  <si>
    <t>(11) 3465-7000</t>
  </si>
  <si>
    <t>RUA DOUTOR PENAFORTE MENDES, 74 - BELA VISTA - CEP 01308-010</t>
  </si>
  <si>
    <t>(11) 99117-5741 - Antônio</t>
  </si>
  <si>
    <t>PASS-20X20X12</t>
  </si>
  <si>
    <t>Pç</t>
  </si>
  <si>
    <t>Passante em EPE 20 x 20 x 12 cm</t>
  </si>
  <si>
    <t>PASS-10X10X12</t>
  </si>
  <si>
    <t>Passante em EPE 10 x 10 x 12 cm</t>
  </si>
  <si>
    <t>PASS-20X10X12</t>
  </si>
  <si>
    <t>Passante em EPE 20 x 10 x 12 cm</t>
  </si>
  <si>
    <t>PASS-15X15X12</t>
  </si>
  <si>
    <t>Passante em EPE 15 x 15 x 12 cm</t>
  </si>
  <si>
    <t>SUB-TOTAL</t>
  </si>
  <si>
    <t>FRETE</t>
  </si>
  <si>
    <t>TOTAL GERAL</t>
  </si>
  <si>
    <t>28 DDL</t>
  </si>
  <si>
    <t>7 dias úteis</t>
  </si>
  <si>
    <t>Observações:</t>
  </si>
  <si>
    <t>PEDIDO: 1505/26</t>
  </si>
  <si>
    <t>Enviar dados para depósito junto com a NF. Frete CIF. Impostos inclusos. Sem IPI conforme cotação.</t>
  </si>
  <si>
    <t>Wladimir Silvestre</t>
  </si>
  <si>
    <t>(11) 2885-8428 / (11) 4169-4538 / (11) 99180-1089 (WhatsApp)</t>
  </si>
  <si>
    <t>wladimir@shaftpredial.com.br</t>
  </si>
  <si>
    <t>14.468.241/0001-74</t>
  </si>
  <si>
    <t>2105/26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</si>
</sst>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0_);_(* \(#,##0.00\);_(* \-??_);_(@_)"/>
    <numFmt numFmtId="165" formatCode="m/d/yy"/>
    <numFmt numFmtId="167" formatCode="&quot;R$&quot;\ #,##0.00"/>
  </numFmts>
  <fonts count="18" x14ac:knownFonts="1">
    <font>
      <sz val="10"/>
      <name val="Arial"/>
    </font>
    <font>
      <sz val="10"/>
      <name val="Arial"/>
      <family val="2"/>
    </font>
    <font>
      <sz val="10"/>
      <name val="Tahoma"/>
      <family val="2"/>
    </font>
    <font>
      <sz val="10"/>
      <name val="Arial"/>
      <family val="2"/>
    </font>
    <font>
      <b/>
      <sz val="14"/>
      <name val="Tahoma"/>
      <family val="2"/>
    </font>
    <font>
      <b/>
      <sz val="10"/>
      <name val="Tahoma"/>
      <family val="2"/>
    </font>
    <font>
      <b/>
      <sz val="10"/>
      <color rgb="FFFF0000"/>
      <name val="Tahoma"/>
      <family val="2"/>
    </font>
    <font>
      <b/>
      <sz val="16"/>
      <name val="Tahoma"/>
      <family val="2"/>
    </font>
    <font>
      <sz val="10"/>
      <color rgb="FF33CCCC"/>
      <name val="Arial"/>
      <family val="2"/>
    </font>
    <font>
      <b/>
      <sz val="9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b/>
      <sz val="9"/>
      <color rgb="FFFF0000"/>
      <name val="Tahoma"/>
      <family val="2"/>
    </font>
    <font>
      <b/>
      <sz val="11"/>
      <color rgb="FF000000"/>
      <name val="Tahoma"/>
      <family val="2"/>
    </font>
    <font>
      <b/>
      <sz val="11"/>
      <name val="Tahoma"/>
      <family val="2"/>
    </font>
    <font>
      <sz val="11"/>
      <name val="Tahoma"/>
      <family val="2"/>
    </font>
    <font>
      <sz val="10"/>
      <color rgb="FFFF0000"/>
      <name val="Tahoma"/>
      <family val="2"/>
    </font>
    <font>
      <u/>
      <sz val="10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0C0C0"/>
      </patternFill>
    </fill>
  </fills>
  <borders count="66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double">
        <color auto="1"/>
      </top>
      <bottom style="double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double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medium">
        <color auto="1"/>
      </left>
      <right/>
      <top style="hair">
        <color auto="1"/>
      </top>
      <bottom style="double">
        <color auto="1"/>
      </bottom>
      <diagonal/>
    </border>
    <border>
      <left/>
      <right/>
      <top style="hair">
        <color auto="1"/>
      </top>
      <bottom style="double">
        <color auto="1"/>
      </bottom>
      <diagonal/>
    </border>
    <border>
      <left/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/>
      <top style="hair">
        <color auto="1"/>
      </top>
      <bottom style="double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</borders>
  <cellStyleXfs count="8">
    <xf numFmtId="0" fontId="0" fillId="0" borderId="0"/>
    <xf numFmtId="43" fontId="1" fillId="0" borderId="0" applyBorder="0" applyAlignment="0" applyProtection="0"/>
    <xf numFmtId="41" fontId="1" fillId="0" borderId="0" applyBorder="0" applyAlignment="0" applyProtection="0"/>
    <xf numFmtId="44" fontId="1" fillId="0" borderId="0" applyBorder="0" applyAlignment="0" applyProtection="0"/>
    <xf numFmtId="42" fontId="1" fillId="0" borderId="0" applyBorder="0" applyAlignment="0" applyProtection="0"/>
    <xf numFmtId="9" fontId="1" fillId="0" borderId="0" applyBorder="0" applyAlignment="0" applyProtection="0"/>
    <xf numFmtId="0" fontId="8" fillId="0" borderId="0" applyBorder="0" applyAlignment="0" applyProtection="0"/>
    <xf numFmtId="0" fontId="17" fillId="0" borderId="0" applyNumberFormat="0" applyFill="0" applyBorder="0" applyAlignment="0" applyProtection="0"/>
  </cellStyleXfs>
  <cellXfs count="135">
    <xf numFmtId="0" fontId="0" fillId="0" borderId="0" xfId="0"/>
    <xf numFmtId="0" fontId="2" fillId="2" borderId="25" xfId="0" applyFont="1" applyFill="1" applyBorder="1" applyAlignment="1">
      <alignment horizontal="left" vertical="center" wrapText="1"/>
    </xf>
    <xf numFmtId="0" fontId="2" fillId="2" borderId="24" xfId="0" applyFont="1" applyFill="1" applyBorder="1" applyAlignment="1">
      <alignment horizontal="left" vertical="center"/>
    </xf>
    <xf numFmtId="0" fontId="3" fillId="0" borderId="32" xfId="0" applyFont="1" applyBorder="1"/>
    <xf numFmtId="0" fontId="8" fillId="0" borderId="25" xfId="6" applyBorder="1" applyAlignment="1"/>
    <xf numFmtId="0" fontId="3" fillId="0" borderId="0" xfId="0" applyFont="1"/>
    <xf numFmtId="0" fontId="3" fillId="0" borderId="25" xfId="0" applyFont="1" applyBorder="1"/>
    <xf numFmtId="0" fontId="3" fillId="0" borderId="24" xfId="0" applyFont="1" applyBorder="1"/>
    <xf numFmtId="0" fontId="3" fillId="0" borderId="20" xfId="0" applyFont="1" applyBorder="1"/>
    <xf numFmtId="0" fontId="5" fillId="0" borderId="16" xfId="0" applyFont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2" fillId="2" borderId="1" xfId="0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4" fillId="2" borderId="6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4" fillId="2" borderId="11" xfId="0" applyFont="1" applyFill="1" applyBorder="1" applyAlignment="1">
      <alignment vertical="center"/>
    </xf>
    <xf numFmtId="0" fontId="5" fillId="0" borderId="12" xfId="0" applyFont="1" applyBorder="1" applyAlignment="1">
      <alignment horizontal="right" vertical="center"/>
    </xf>
    <xf numFmtId="0" fontId="6" fillId="0" borderId="13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49" fontId="5" fillId="0" borderId="13" xfId="0" applyNumberFormat="1" applyFont="1" applyBorder="1" applyAlignment="1">
      <alignment horizontal="right" vertical="center"/>
    </xf>
    <xf numFmtId="49" fontId="6" fillId="0" borderId="13" xfId="0" applyNumberFormat="1" applyFont="1" applyBorder="1" applyAlignment="1">
      <alignment vertical="center"/>
    </xf>
    <xf numFmtId="0" fontId="5" fillId="0" borderId="14" xfId="0" applyFont="1" applyBorder="1" applyAlignment="1">
      <alignment horizontal="left" vertical="center"/>
    </xf>
    <xf numFmtId="0" fontId="5" fillId="0" borderId="10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0" fontId="5" fillId="2" borderId="17" xfId="0" applyFont="1" applyFill="1" applyBorder="1" applyAlignment="1">
      <alignment horizontal="left" vertical="center"/>
    </xf>
    <xf numFmtId="0" fontId="5" fillId="2" borderId="18" xfId="0" applyFont="1" applyFill="1" applyBorder="1" applyAlignment="1">
      <alignment horizontal="left" vertical="center"/>
    </xf>
    <xf numFmtId="0" fontId="2" fillId="2" borderId="19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5" fillId="2" borderId="26" xfId="0" applyFont="1" applyFill="1" applyBorder="1" applyAlignment="1">
      <alignment horizontal="left" vertical="center"/>
    </xf>
    <xf numFmtId="0" fontId="5" fillId="2" borderId="27" xfId="0" applyFont="1" applyFill="1" applyBorder="1" applyAlignment="1">
      <alignment horizontal="left" vertical="center"/>
    </xf>
    <xf numFmtId="0" fontId="2" fillId="2" borderId="28" xfId="0" applyFont="1" applyFill="1" applyBorder="1" applyAlignment="1">
      <alignment horizontal="left" vertical="center"/>
    </xf>
    <xf numFmtId="0" fontId="5" fillId="2" borderId="29" xfId="0" applyFont="1" applyFill="1" applyBorder="1" applyAlignment="1">
      <alignment horizontal="left" vertical="center"/>
    </xf>
    <xf numFmtId="0" fontId="5" fillId="2" borderId="30" xfId="0" applyFont="1" applyFill="1" applyBorder="1" applyAlignment="1">
      <alignment horizontal="left" vertical="center"/>
    </xf>
    <xf numFmtId="0" fontId="2" fillId="2" borderId="31" xfId="0" applyFont="1" applyFill="1" applyBorder="1" applyAlignment="1">
      <alignment horizontal="left" vertical="center"/>
    </xf>
    <xf numFmtId="0" fontId="5" fillId="2" borderId="33" xfId="0" applyFont="1" applyFill="1" applyBorder="1" applyAlignment="1">
      <alignment horizontal="left" vertical="center"/>
    </xf>
    <xf numFmtId="0" fontId="5" fillId="2" borderId="34" xfId="0" applyFont="1" applyFill="1" applyBorder="1" applyAlignment="1">
      <alignment horizontal="left" vertical="center"/>
    </xf>
    <xf numFmtId="0" fontId="2" fillId="2" borderId="35" xfId="0" applyFont="1" applyFill="1" applyBorder="1" applyAlignment="1">
      <alignment horizontal="left" vertical="center"/>
    </xf>
    <xf numFmtId="0" fontId="5" fillId="2" borderId="37" xfId="0" applyFont="1" applyFill="1" applyBorder="1" applyAlignment="1">
      <alignment horizontal="left" vertical="center"/>
    </xf>
    <xf numFmtId="0" fontId="5" fillId="2" borderId="38" xfId="0" applyFont="1" applyFill="1" applyBorder="1" applyAlignment="1">
      <alignment horizontal="left" vertical="center"/>
    </xf>
    <xf numFmtId="0" fontId="2" fillId="2" borderId="39" xfId="0" applyFont="1" applyFill="1" applyBorder="1" applyAlignment="1">
      <alignment horizontal="left" vertical="center"/>
    </xf>
    <xf numFmtId="1" fontId="12" fillId="0" borderId="42" xfId="0" applyNumberFormat="1" applyFont="1" applyBorder="1" applyAlignment="1">
      <alignment horizontal="center" vertical="center"/>
    </xf>
    <xf numFmtId="3" fontId="6" fillId="0" borderId="43" xfId="0" applyNumberFormat="1" applyFont="1" applyBorder="1" applyAlignment="1">
      <alignment horizontal="center" vertical="center"/>
    </xf>
    <xf numFmtId="1" fontId="6" fillId="0" borderId="42" xfId="0" applyNumberFormat="1" applyFont="1" applyBorder="1" applyAlignment="1">
      <alignment horizontal="center" vertical="center"/>
    </xf>
    <xf numFmtId="4" fontId="6" fillId="0" borderId="43" xfId="0" applyNumberFormat="1" applyFont="1" applyBorder="1" applyAlignment="1">
      <alignment horizontal="center" vertical="center"/>
    </xf>
    <xf numFmtId="0" fontId="11" fillId="0" borderId="46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 vertical="center"/>
    </xf>
    <xf numFmtId="0" fontId="2" fillId="2" borderId="47" xfId="0" applyFont="1" applyFill="1" applyBorder="1" applyAlignment="1">
      <alignment horizontal="center" vertical="center"/>
    </xf>
    <xf numFmtId="164" fontId="2" fillId="0" borderId="49" xfId="0" applyNumberFormat="1" applyFont="1" applyBorder="1" applyAlignment="1">
      <alignment vertical="center"/>
    </xf>
    <xf numFmtId="10" fontId="2" fillId="0" borderId="49" xfId="0" applyNumberFormat="1" applyFont="1" applyBorder="1" applyAlignment="1">
      <alignment horizontal="center" vertical="center"/>
    </xf>
    <xf numFmtId="164" fontId="2" fillId="0" borderId="50" xfId="0" applyNumberFormat="1" applyFont="1" applyBorder="1" applyAlignment="1">
      <alignment vertical="center"/>
    </xf>
    <xf numFmtId="0" fontId="5" fillId="0" borderId="52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center"/>
    </xf>
    <xf numFmtId="164" fontId="2" fillId="0" borderId="14" xfId="0" applyNumberFormat="1" applyFont="1" applyBorder="1" applyAlignment="1">
      <alignment horizontal="center" vertical="center"/>
    </xf>
    <xf numFmtId="2" fontId="5" fillId="2" borderId="50" xfId="0" applyNumberFormat="1" applyFont="1" applyFill="1" applyBorder="1" applyAlignment="1">
      <alignment horizontal="center" vertical="center"/>
    </xf>
    <xf numFmtId="0" fontId="10" fillId="0" borderId="46" xfId="0" applyFont="1" applyBorder="1" applyAlignment="1">
      <alignment vertical="center"/>
    </xf>
    <xf numFmtId="0" fontId="2" fillId="2" borderId="49" xfId="0" applyFont="1" applyFill="1" applyBorder="1" applyAlignment="1">
      <alignment vertical="center"/>
    </xf>
    <xf numFmtId="0" fontId="2" fillId="2" borderId="48" xfId="0" applyFont="1" applyFill="1" applyBorder="1" applyAlignment="1">
      <alignment vertical="center"/>
    </xf>
    <xf numFmtId="164" fontId="5" fillId="2" borderId="14" xfId="0" applyNumberFormat="1" applyFont="1" applyFill="1" applyBorder="1" applyAlignment="1">
      <alignment vertical="center"/>
    </xf>
    <xf numFmtId="165" fontId="6" fillId="2" borderId="50" xfId="0" applyNumberFormat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164" fontId="2" fillId="2" borderId="0" xfId="0" applyNumberFormat="1" applyFont="1" applyFill="1" applyAlignment="1">
      <alignment horizontal="center" vertical="center"/>
    </xf>
    <xf numFmtId="2" fontId="2" fillId="2" borderId="53" xfId="0" applyNumberFormat="1" applyFont="1" applyFill="1" applyBorder="1" applyAlignment="1">
      <alignment horizontal="center" vertical="center"/>
    </xf>
    <xf numFmtId="0" fontId="13" fillId="0" borderId="5" xfId="0" applyFont="1" applyBorder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15" fillId="2" borderId="0" xfId="0" applyFont="1" applyFill="1" applyAlignment="1">
      <alignment horizontal="left" vertical="center"/>
    </xf>
    <xf numFmtId="164" fontId="15" fillId="2" borderId="0" xfId="0" applyNumberFormat="1" applyFont="1" applyFill="1" applyAlignment="1">
      <alignment horizontal="center" vertical="center"/>
    </xf>
    <xf numFmtId="2" fontId="15" fillId="2" borderId="53" xfId="0" applyNumberFormat="1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left" vertical="center"/>
    </xf>
    <xf numFmtId="0" fontId="5" fillId="2" borderId="13" xfId="0" applyFont="1" applyFill="1" applyBorder="1" applyAlignment="1">
      <alignment horizontal="left" vertical="center"/>
    </xf>
    <xf numFmtId="0" fontId="2" fillId="2" borderId="13" xfId="0" applyFont="1" applyFill="1" applyBorder="1" applyAlignment="1">
      <alignment horizontal="left" vertical="center"/>
    </xf>
    <xf numFmtId="0" fontId="16" fillId="2" borderId="54" xfId="0" applyFont="1" applyFill="1" applyBorder="1" applyAlignment="1">
      <alignment horizontal="left" vertical="center"/>
    </xf>
    <xf numFmtId="164" fontId="5" fillId="2" borderId="13" xfId="0" applyNumberFormat="1" applyFont="1" applyFill="1" applyBorder="1" applyAlignment="1">
      <alignment horizontal="left" vertical="center"/>
    </xf>
    <xf numFmtId="164" fontId="5" fillId="2" borderId="13" xfId="0" applyNumberFormat="1" applyFont="1" applyFill="1" applyBorder="1" applyAlignment="1">
      <alignment horizontal="center" vertical="center"/>
    </xf>
    <xf numFmtId="2" fontId="2" fillId="2" borderId="55" xfId="0" applyNumberFormat="1" applyFont="1" applyFill="1" applyBorder="1" applyAlignment="1">
      <alignment horizontal="center" vertical="center"/>
    </xf>
    <xf numFmtId="1" fontId="6" fillId="0" borderId="43" xfId="0" applyNumberFormat="1" applyFont="1" applyBorder="1" applyAlignment="1">
      <alignment horizontal="center" vertical="center"/>
    </xf>
    <xf numFmtId="9" fontId="6" fillId="0" borderId="43" xfId="0" applyNumberFormat="1" applyFont="1" applyBorder="1" applyAlignment="1">
      <alignment horizontal="center" vertical="center"/>
    </xf>
    <xf numFmtId="167" fontId="6" fillId="0" borderId="43" xfId="0" applyNumberFormat="1" applyFont="1" applyBorder="1" applyAlignment="1">
      <alignment horizontal="center" vertical="center"/>
    </xf>
    <xf numFmtId="167" fontId="2" fillId="0" borderId="45" xfId="0" applyNumberFormat="1" applyFont="1" applyBorder="1" applyAlignment="1">
      <alignment horizontal="center" vertical="center"/>
    </xf>
    <xf numFmtId="167" fontId="10" fillId="0" borderId="51" xfId="0" applyNumberFormat="1" applyFont="1" applyBorder="1" applyAlignment="1">
      <alignment horizontal="center" vertical="center"/>
    </xf>
    <xf numFmtId="0" fontId="2" fillId="2" borderId="0" xfId="0" applyFont="1" applyFill="1" applyAlignment="1">
      <alignment horizontal="left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2" fontId="2" fillId="2" borderId="53" xfId="0" applyNumberFormat="1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left" vertical="center"/>
    </xf>
    <xf numFmtId="3" fontId="2" fillId="2" borderId="25" xfId="0" applyNumberFormat="1" applyFont="1" applyFill="1" applyBorder="1" applyAlignment="1">
      <alignment horizontal="left" vertical="center"/>
    </xf>
    <xf numFmtId="0" fontId="2" fillId="2" borderId="36" xfId="0" applyFont="1" applyFill="1" applyBorder="1" applyAlignment="1">
      <alignment horizontal="left" vertical="center"/>
    </xf>
    <xf numFmtId="164" fontId="2" fillId="2" borderId="40" xfId="0" applyNumberFormat="1" applyFont="1" applyFill="1" applyBorder="1" applyAlignment="1">
      <alignment horizontal="left" vertical="center"/>
    </xf>
    <xf numFmtId="1" fontId="12" fillId="0" borderId="44" xfId="0" applyNumberFormat="1" applyFont="1" applyBorder="1" applyAlignment="1">
      <alignment horizontal="center" vertical="center" wrapText="1"/>
    </xf>
    <xf numFmtId="0" fontId="6" fillId="0" borderId="43" xfId="0" applyFont="1" applyBorder="1" applyAlignment="1">
      <alignment horizontal="left" vertical="center" wrapText="1"/>
    </xf>
    <xf numFmtId="0" fontId="2" fillId="0" borderId="48" xfId="0" applyFont="1" applyBorder="1" applyAlignment="1">
      <alignment horizontal="left" vertical="center" wrapText="1"/>
    </xf>
    <xf numFmtId="0" fontId="5" fillId="0" borderId="48" xfId="0" applyFont="1" applyBorder="1" applyAlignment="1">
      <alignment horizontal="center" vertical="center"/>
    </xf>
    <xf numFmtId="0" fontId="10" fillId="0" borderId="52" xfId="0" applyFont="1" applyBorder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1" fillId="0" borderId="32" xfId="0" applyFont="1" applyBorder="1"/>
    <xf numFmtId="0" fontId="1" fillId="0" borderId="25" xfId="0" applyFont="1" applyBorder="1"/>
    <xf numFmtId="0" fontId="17" fillId="0" borderId="25" xfId="7" applyBorder="1" applyAlignment="1"/>
    <xf numFmtId="0" fontId="1" fillId="0" borderId="24" xfId="0" applyFont="1" applyBorder="1"/>
    <xf numFmtId="0" fontId="5" fillId="2" borderId="57" xfId="0" applyFont="1" applyFill="1" applyBorder="1" applyAlignment="1">
      <alignment horizontal="center" vertical="center"/>
    </xf>
    <xf numFmtId="0" fontId="5" fillId="2" borderId="56" xfId="0" applyFont="1" applyFill="1" applyBorder="1" applyAlignment="1">
      <alignment horizontal="center" vertical="center"/>
    </xf>
    <xf numFmtId="0" fontId="5" fillId="2" borderId="65" xfId="0" applyFont="1" applyFill="1" applyBorder="1" applyAlignment="1">
      <alignment horizontal="center" vertical="center"/>
    </xf>
    <xf numFmtId="0" fontId="5" fillId="0" borderId="62" xfId="0" applyFont="1" applyBorder="1" applyAlignment="1">
      <alignment horizontal="center" vertical="center"/>
    </xf>
    <xf numFmtId="0" fontId="5" fillId="0" borderId="63" xfId="0" applyFont="1" applyBorder="1" applyAlignment="1">
      <alignment horizontal="center" vertical="center"/>
    </xf>
    <xf numFmtId="0" fontId="5" fillId="0" borderId="64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5" fillId="0" borderId="58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/>
    </xf>
    <xf numFmtId="0" fontId="5" fillId="0" borderId="60" xfId="0" applyFont="1" applyBorder="1" applyAlignment="1">
      <alignment horizontal="center" vertical="center"/>
    </xf>
    <xf numFmtId="0" fontId="5" fillId="0" borderId="61" xfId="0" applyFont="1" applyBorder="1" applyAlignment="1">
      <alignment horizontal="center" vertical="center"/>
    </xf>
    <xf numFmtId="164" fontId="5" fillId="0" borderId="41" xfId="0" applyNumberFormat="1" applyFont="1" applyBorder="1" applyAlignment="1">
      <alignment horizontal="left" vertical="center" wrapText="1"/>
    </xf>
    <xf numFmtId="164" fontId="5" fillId="0" borderId="41" xfId="0" applyNumberFormat="1" applyFont="1" applyBorder="1" applyAlignment="1">
      <alignment horizontal="left" vertical="center"/>
    </xf>
    <xf numFmtId="0" fontId="5" fillId="0" borderId="41" xfId="0" applyFont="1" applyBorder="1" applyAlignment="1">
      <alignment horizontal="left" vertical="center"/>
    </xf>
    <xf numFmtId="1" fontId="5" fillId="0" borderId="41" xfId="0" applyNumberFormat="1" applyFont="1" applyBorder="1" applyAlignment="1">
      <alignment horizontal="left" vertical="center"/>
    </xf>
    <xf numFmtId="49" fontId="9" fillId="0" borderId="42" xfId="0" applyNumberFormat="1" applyFont="1" applyBorder="1" applyAlignment="1">
      <alignment horizontal="left" vertical="center"/>
    </xf>
    <xf numFmtId="1" fontId="10" fillId="0" borderId="43" xfId="0" applyNumberFormat="1" applyFont="1" applyBorder="1" applyAlignment="1">
      <alignment horizontal="left" vertical="center"/>
    </xf>
    <xf numFmtId="3" fontId="10" fillId="0" borderId="43" xfId="0" applyNumberFormat="1" applyFont="1" applyBorder="1" applyAlignment="1">
      <alignment horizontal="left" vertical="center"/>
    </xf>
    <xf numFmtId="49" fontId="9" fillId="0" borderId="44" xfId="0" applyNumberFormat="1" applyFont="1" applyBorder="1" applyAlignment="1">
      <alignment horizontal="left" vertical="center" wrapText="1"/>
    </xf>
    <xf numFmtId="167" fontId="10" fillId="0" borderId="43" xfId="0" applyNumberFormat="1" applyFont="1" applyBorder="1" applyAlignment="1">
      <alignment horizontal="left" vertical="center"/>
    </xf>
    <xf numFmtId="9" fontId="10" fillId="0" borderId="43" xfId="0" applyNumberFormat="1" applyFont="1" applyBorder="1" applyAlignment="1">
      <alignment horizontal="left" vertical="center"/>
    </xf>
    <xf numFmtId="167" fontId="11" fillId="0" borderId="45" xfId="0" applyNumberFormat="1" applyFont="1" applyBorder="1" applyAlignment="1">
      <alignment horizontal="left" vertical="center"/>
    </xf>
  </cellXfs>
  <cellStyles count="8">
    <cellStyle name="*unknown*" xfId="6" xr:uid="{00000000-0005-0000-0000-000006000000}"/>
    <cellStyle name="Comma" xfId="1" xr:uid="{00000000-0005-0000-0000-000001000000}"/>
    <cellStyle name="Comma [0]" xfId="2" xr:uid="{00000000-0005-0000-0000-000002000000}"/>
    <cellStyle name="Currency" xfId="3" xr:uid="{00000000-0005-0000-0000-000003000000}"/>
    <cellStyle name="Currency [0]" xfId="4" xr:uid="{00000000-0005-0000-0000-000004000000}"/>
    <cellStyle name="Hiperlink" xfId="7" builtinId="8"/>
    <cellStyle name="Normal" xfId="0" builtinId="0"/>
    <cellStyle name="Percent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ibre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wladimir@shaftpredial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W60"/>
  <sheetViews>
    <sheetView tabSelected="1" zoomScale="200" zoomScaleNormal="200" workbookViewId="0">
      <selection activeCell="H46" sqref="H46"/>
    </sheetView>
  </sheetViews>
  <sheetFormatPr baseColWidth="10" defaultColWidth="0" defaultRowHeight="13" x14ac:dyDescent="0.15"/>
  <cols>
    <col min="1" max="1" width="15.5" style="15" customWidth="1"/>
    <col min="2" max="2" width="12.83203125" style="15" customWidth="1"/>
    <col min="3" max="3" width="13.1640625" style="15" customWidth="1"/>
    <col min="4" max="4" width="34" style="15" customWidth="1"/>
    <col min="5" max="5" width="16.5" style="15" customWidth="1"/>
    <col min="6" max="6" width="11.5" style="16" customWidth="1"/>
    <col min="7" max="7" width="10" style="16" customWidth="1"/>
    <col min="8" max="8" width="18.83203125" style="16" customWidth="1"/>
    <col min="9" max="257" width="11" style="17" hidden="1"/>
    <col min="258" max="16384" width="11" hidden="1"/>
  </cols>
  <sheetData>
    <row r="1" spans="1:8" ht="12.75" customHeight="1" x14ac:dyDescent="0.15">
      <c r="A1" s="18"/>
      <c r="B1" s="19"/>
      <c r="C1" s="19"/>
      <c r="D1" s="14" t="s">
        <v>0</v>
      </c>
      <c r="E1" s="14"/>
      <c r="F1" s="20"/>
      <c r="G1" s="13"/>
      <c r="H1" s="13"/>
    </row>
    <row r="2" spans="1:8" ht="12.75" customHeight="1" x14ac:dyDescent="0.15">
      <c r="A2" s="21"/>
      <c r="B2" s="22"/>
      <c r="C2" s="22"/>
      <c r="D2" s="14"/>
      <c r="E2" s="14"/>
      <c r="F2" s="23"/>
      <c r="G2" s="13"/>
      <c r="H2" s="13"/>
    </row>
    <row r="3" spans="1:8" ht="12.75" customHeight="1" x14ac:dyDescent="0.15">
      <c r="A3" s="21"/>
      <c r="B3" s="22"/>
      <c r="C3" s="22"/>
      <c r="D3" s="14"/>
      <c r="E3" s="14"/>
      <c r="F3" s="23"/>
      <c r="G3" s="12"/>
      <c r="H3" s="12"/>
    </row>
    <row r="4" spans="1:8" ht="12.75" customHeight="1" x14ac:dyDescent="0.15">
      <c r="A4" s="21"/>
      <c r="B4" s="22"/>
      <c r="C4" s="22"/>
      <c r="D4" s="14"/>
      <c r="E4" s="14"/>
      <c r="F4" s="23"/>
      <c r="G4" s="12"/>
      <c r="H4" s="12"/>
    </row>
    <row r="5" spans="1:8" ht="12.75" customHeight="1" x14ac:dyDescent="0.15">
      <c r="A5" s="21"/>
      <c r="B5" s="22"/>
      <c r="C5" s="22"/>
      <c r="D5" s="14"/>
      <c r="E5" s="14"/>
      <c r="F5" s="23"/>
      <c r="G5" s="11"/>
      <c r="H5" s="11"/>
    </row>
    <row r="6" spans="1:8" ht="12.75" customHeight="1" x14ac:dyDescent="0.15">
      <c r="A6" s="24"/>
      <c r="B6" s="25"/>
      <c r="C6" s="25"/>
      <c r="D6" s="14"/>
      <c r="E6" s="14"/>
      <c r="F6" s="26"/>
      <c r="G6" s="11"/>
      <c r="H6" s="11"/>
    </row>
    <row r="7" spans="1:8" ht="27.75" customHeight="1" x14ac:dyDescent="0.15">
      <c r="A7" s="27" t="s">
        <v>1</v>
      </c>
      <c r="B7" s="28" t="s">
        <v>66</v>
      </c>
      <c r="C7" s="29"/>
      <c r="D7" s="30" t="s">
        <v>2</v>
      </c>
      <c r="E7" s="31" t="s">
        <v>26</v>
      </c>
      <c r="F7" s="32"/>
      <c r="G7" s="33" t="s">
        <v>3</v>
      </c>
      <c r="H7" s="34" t="s">
        <v>27</v>
      </c>
    </row>
    <row r="8" spans="1:8" ht="22.5" customHeight="1" x14ac:dyDescent="0.15">
      <c r="A8" s="10" t="s">
        <v>0</v>
      </c>
      <c r="B8" s="10"/>
      <c r="C8" s="10"/>
      <c r="D8" s="10"/>
      <c r="E8" s="10"/>
      <c r="F8" s="10"/>
      <c r="G8" s="10"/>
      <c r="H8" s="10"/>
    </row>
    <row r="9" spans="1:8" ht="18" customHeight="1" x14ac:dyDescent="0.15">
      <c r="A9" s="9" t="s">
        <v>4</v>
      </c>
      <c r="B9" s="9"/>
      <c r="C9" s="9"/>
      <c r="D9" s="9"/>
      <c r="E9" s="9"/>
      <c r="F9" s="9"/>
      <c r="G9" s="9"/>
      <c r="H9" s="9"/>
    </row>
    <row r="10" spans="1:8" ht="17.25" customHeight="1" x14ac:dyDescent="0.15">
      <c r="A10" s="35" t="s">
        <v>5</v>
      </c>
      <c r="B10" s="36"/>
      <c r="C10" s="37"/>
      <c r="D10" s="8" t="s">
        <v>28</v>
      </c>
      <c r="E10" s="8"/>
      <c r="F10" s="8"/>
      <c r="G10" s="8"/>
      <c r="H10" s="8"/>
    </row>
    <row r="11" spans="1:8" x14ac:dyDescent="0.15">
      <c r="A11" s="38" t="s">
        <v>6</v>
      </c>
      <c r="B11" s="39"/>
      <c r="C11" s="40"/>
      <c r="D11" s="7" t="s">
        <v>29</v>
      </c>
      <c r="E11" s="7"/>
      <c r="F11" s="7"/>
      <c r="G11" s="7"/>
      <c r="H11" s="7"/>
    </row>
    <row r="12" spans="1:8" x14ac:dyDescent="0.15">
      <c r="A12" s="38" t="s">
        <v>7</v>
      </c>
      <c r="B12" s="39"/>
      <c r="C12" s="40"/>
      <c r="D12" s="6" t="s">
        <v>30</v>
      </c>
      <c r="E12" s="6"/>
      <c r="F12" s="6"/>
      <c r="G12" s="6"/>
      <c r="H12" s="6"/>
    </row>
    <row r="13" spans="1:8" x14ac:dyDescent="0.15">
      <c r="A13" s="38" t="s">
        <v>8</v>
      </c>
      <c r="B13" s="39"/>
      <c r="C13" s="40"/>
      <c r="D13" s="5" t="s">
        <v>31</v>
      </c>
      <c r="E13" s="5"/>
      <c r="F13" s="5"/>
      <c r="G13" s="5"/>
      <c r="H13" s="5"/>
    </row>
    <row r="14" spans="1:8" x14ac:dyDescent="0.15">
      <c r="A14" s="38" t="s">
        <v>9</v>
      </c>
      <c r="B14" s="39"/>
      <c r="C14" s="40"/>
      <c r="D14" s="6" t="s">
        <v>32</v>
      </c>
      <c r="E14" s="6"/>
      <c r="F14" s="6"/>
      <c r="G14" s="6"/>
      <c r="H14" s="6"/>
    </row>
    <row r="15" spans="1:8" x14ac:dyDescent="0.15">
      <c r="A15" s="41" t="s">
        <v>10</v>
      </c>
      <c r="B15" s="42"/>
      <c r="C15" s="43"/>
      <c r="D15" s="4" t="s">
        <v>33</v>
      </c>
      <c r="E15" s="4"/>
      <c r="F15" s="4"/>
      <c r="G15" s="4"/>
      <c r="H15" s="4"/>
    </row>
    <row r="16" spans="1:8" x14ac:dyDescent="0.15">
      <c r="A16" s="44" t="s">
        <v>11</v>
      </c>
      <c r="B16" s="45"/>
      <c r="C16" s="46"/>
      <c r="D16" s="3" t="s">
        <v>34</v>
      </c>
      <c r="E16" s="3"/>
      <c r="F16" s="3"/>
      <c r="G16" s="3"/>
      <c r="H16" s="3"/>
    </row>
    <row r="17" spans="1:8" ht="18" customHeight="1" x14ac:dyDescent="0.15">
      <c r="A17" s="9" t="s">
        <v>12</v>
      </c>
      <c r="B17" s="9"/>
      <c r="C17" s="9"/>
      <c r="D17" s="9"/>
      <c r="E17" s="9"/>
      <c r="F17" s="9"/>
      <c r="G17" s="9"/>
      <c r="H17" s="9"/>
    </row>
    <row r="18" spans="1:8" x14ac:dyDescent="0.15">
      <c r="A18" s="35" t="s">
        <v>5</v>
      </c>
      <c r="B18" s="36"/>
      <c r="C18" s="37"/>
      <c r="D18" s="8" t="s">
        <v>35</v>
      </c>
      <c r="E18" s="8"/>
      <c r="F18" s="8"/>
      <c r="G18" s="8"/>
      <c r="H18" s="8"/>
    </row>
    <row r="19" spans="1:8" x14ac:dyDescent="0.15">
      <c r="A19" s="38" t="s">
        <v>6</v>
      </c>
      <c r="B19" s="39"/>
      <c r="C19" s="40"/>
      <c r="D19" s="111" t="s">
        <v>65</v>
      </c>
      <c r="E19" s="7"/>
      <c r="F19" s="7"/>
      <c r="G19" s="7"/>
      <c r="H19" s="7"/>
    </row>
    <row r="20" spans="1:8" x14ac:dyDescent="0.15">
      <c r="A20" s="38" t="s">
        <v>7</v>
      </c>
      <c r="B20" s="39"/>
      <c r="C20" s="40"/>
      <c r="D20" s="6" t="s">
        <v>36</v>
      </c>
      <c r="E20" s="6"/>
      <c r="F20" s="6"/>
      <c r="G20" s="6"/>
      <c r="H20" s="6"/>
    </row>
    <row r="21" spans="1:8" x14ac:dyDescent="0.15">
      <c r="A21" s="38" t="s">
        <v>8</v>
      </c>
      <c r="B21" s="39"/>
      <c r="C21" s="40"/>
      <c r="D21" s="6" t="s">
        <v>37</v>
      </c>
      <c r="E21" s="6"/>
      <c r="F21" s="6"/>
      <c r="G21" s="6"/>
      <c r="H21" s="6"/>
    </row>
    <row r="22" spans="1:8" x14ac:dyDescent="0.15">
      <c r="A22" s="38" t="s">
        <v>9</v>
      </c>
      <c r="B22" s="39"/>
      <c r="C22" s="40"/>
      <c r="D22" s="109" t="s">
        <v>63</v>
      </c>
      <c r="E22" s="6"/>
      <c r="F22" s="6"/>
      <c r="G22" s="6"/>
      <c r="H22" s="6"/>
    </row>
    <row r="23" spans="1:8" x14ac:dyDescent="0.15">
      <c r="A23" s="41" t="s">
        <v>10</v>
      </c>
      <c r="B23" s="42"/>
      <c r="C23" s="43"/>
      <c r="D23" s="110" t="s">
        <v>64</v>
      </c>
      <c r="E23" s="4"/>
      <c r="F23" s="4"/>
      <c r="G23" s="4"/>
      <c r="H23" s="4"/>
    </row>
    <row r="24" spans="1:8" x14ac:dyDescent="0.15">
      <c r="A24" s="44" t="s">
        <v>11</v>
      </c>
      <c r="B24" s="45"/>
      <c r="C24" s="46"/>
      <c r="D24" s="108" t="s">
        <v>62</v>
      </c>
      <c r="E24" s="3"/>
      <c r="F24" s="3"/>
      <c r="G24" s="3"/>
      <c r="H24" s="3"/>
    </row>
    <row r="25" spans="1:8" ht="18" customHeight="1" x14ac:dyDescent="0.15">
      <c r="A25" s="9" t="s">
        <v>13</v>
      </c>
      <c r="B25" s="9"/>
      <c r="C25" s="9"/>
      <c r="D25" s="9"/>
      <c r="E25" s="9"/>
      <c r="F25" s="9"/>
      <c r="G25" s="9"/>
      <c r="H25" s="9"/>
    </row>
    <row r="26" spans="1:8" x14ac:dyDescent="0.15">
      <c r="A26" s="35" t="s">
        <v>5</v>
      </c>
      <c r="B26" s="36"/>
      <c r="C26" s="37"/>
      <c r="D26" s="2" t="s">
        <v>38</v>
      </c>
      <c r="E26" s="2"/>
      <c r="F26" s="2"/>
      <c r="G26" s="2"/>
      <c r="H26" s="2"/>
    </row>
    <row r="27" spans="1:8" ht="13" customHeight="1" x14ac:dyDescent="0.15">
      <c r="A27" s="38" t="s">
        <v>8</v>
      </c>
      <c r="B27" s="39"/>
      <c r="C27" s="40"/>
      <c r="D27" s="1" t="s">
        <v>39</v>
      </c>
      <c r="E27" s="1"/>
      <c r="F27" s="1"/>
      <c r="G27" s="1"/>
      <c r="H27" s="1"/>
    </row>
    <row r="28" spans="1:8" x14ac:dyDescent="0.15">
      <c r="A28" s="38" t="s">
        <v>6</v>
      </c>
      <c r="B28" s="39"/>
      <c r="C28" s="40"/>
      <c r="D28" s="98" t="s">
        <v>40</v>
      </c>
      <c r="E28" s="98"/>
      <c r="F28" s="98"/>
      <c r="G28" s="98"/>
      <c r="H28" s="98"/>
    </row>
    <row r="29" spans="1:8" x14ac:dyDescent="0.15">
      <c r="A29" s="38" t="s">
        <v>7</v>
      </c>
      <c r="B29" s="39"/>
      <c r="C29" s="40"/>
      <c r="D29" s="99" t="s">
        <v>41</v>
      </c>
      <c r="E29" s="99"/>
      <c r="F29" s="99"/>
      <c r="G29" s="99"/>
      <c r="H29" s="99"/>
    </row>
    <row r="30" spans="1:8" x14ac:dyDescent="0.15">
      <c r="A30" s="47" t="s">
        <v>9</v>
      </c>
      <c r="B30" s="48"/>
      <c r="C30" s="49"/>
      <c r="D30" s="100" t="s">
        <v>42</v>
      </c>
      <c r="E30" s="100"/>
      <c r="F30" s="100"/>
      <c r="G30" s="100"/>
      <c r="H30" s="100"/>
    </row>
    <row r="31" spans="1:8" ht="18" customHeight="1" x14ac:dyDescent="0.15">
      <c r="A31" s="9" t="s">
        <v>14</v>
      </c>
      <c r="B31" s="9"/>
      <c r="C31" s="9"/>
      <c r="D31" s="9"/>
      <c r="E31" s="9"/>
      <c r="F31" s="9"/>
      <c r="G31" s="9"/>
      <c r="H31" s="9"/>
    </row>
    <row r="32" spans="1:8" x14ac:dyDescent="0.15">
      <c r="A32" s="50" t="s">
        <v>5</v>
      </c>
      <c r="B32" s="51"/>
      <c r="C32" s="52"/>
      <c r="D32" s="2" t="s">
        <v>38</v>
      </c>
      <c r="E32" s="2"/>
      <c r="F32" s="2"/>
      <c r="G32" s="2"/>
      <c r="H32" s="2"/>
    </row>
    <row r="33" spans="1:256" ht="13" customHeight="1" x14ac:dyDescent="0.15">
      <c r="A33" s="38" t="s">
        <v>8</v>
      </c>
      <c r="B33" s="39"/>
      <c r="C33" s="40"/>
      <c r="D33" s="1" t="s">
        <v>43</v>
      </c>
      <c r="E33" s="1"/>
      <c r="F33" s="1"/>
      <c r="G33" s="1"/>
      <c r="H33" s="1"/>
    </row>
    <row r="34" spans="1:256" x14ac:dyDescent="0.15">
      <c r="A34" s="38" t="s">
        <v>6</v>
      </c>
      <c r="B34" s="39"/>
      <c r="C34" s="40"/>
      <c r="D34" s="98" t="s">
        <v>40</v>
      </c>
      <c r="E34" s="98"/>
      <c r="F34" s="98"/>
      <c r="G34" s="98"/>
      <c r="H34" s="98"/>
    </row>
    <row r="35" spans="1:256" x14ac:dyDescent="0.15">
      <c r="A35" s="38" t="s">
        <v>7</v>
      </c>
      <c r="B35" s="39"/>
      <c r="C35" s="40"/>
      <c r="D35" s="99" t="s">
        <v>41</v>
      </c>
      <c r="E35" s="99"/>
      <c r="F35" s="99"/>
      <c r="G35" s="99"/>
      <c r="H35" s="99"/>
    </row>
    <row r="36" spans="1:256" x14ac:dyDescent="0.15">
      <c r="A36" s="41" t="s">
        <v>9</v>
      </c>
      <c r="B36" s="42"/>
      <c r="C36" s="43"/>
      <c r="D36" s="101" t="s">
        <v>44</v>
      </c>
      <c r="E36" s="101"/>
      <c r="F36" s="101"/>
      <c r="G36" s="101"/>
      <c r="H36" s="101"/>
    </row>
    <row r="37" spans="1:256" ht="30" customHeight="1" x14ac:dyDescent="0.15">
      <c r="A37" s="124" t="s">
        <v>15</v>
      </c>
      <c r="B37" s="125" t="s">
        <v>16</v>
      </c>
      <c r="C37" s="126" t="s">
        <v>17</v>
      </c>
      <c r="D37" s="127" t="s">
        <v>18</v>
      </c>
      <c r="E37" s="127"/>
      <c r="F37" s="125" t="s">
        <v>19</v>
      </c>
      <c r="G37" s="125" t="s">
        <v>20</v>
      </c>
      <c r="H37" s="125" t="s">
        <v>21</v>
      </c>
    </row>
    <row r="38" spans="1:256" ht="24.5" customHeight="1" x14ac:dyDescent="0.15">
      <c r="A38" s="128" t="s">
        <v>45</v>
      </c>
      <c r="B38" s="129">
        <v>400</v>
      </c>
      <c r="C38" s="130" t="s">
        <v>46</v>
      </c>
      <c r="D38" s="131" t="s">
        <v>47</v>
      </c>
      <c r="E38" s="131"/>
      <c r="F38" s="132">
        <v>9.1199999999999992</v>
      </c>
      <c r="G38" s="133">
        <v>0</v>
      </c>
      <c r="H38" s="134">
        <f>ROUND(B38*F38*(1+G38),2)</f>
        <v>3648</v>
      </c>
    </row>
    <row r="39" spans="1:256" ht="24.5" customHeight="1" x14ac:dyDescent="0.15">
      <c r="A39" s="128" t="s">
        <v>48</v>
      </c>
      <c r="B39" s="129">
        <v>400</v>
      </c>
      <c r="C39" s="130" t="s">
        <v>46</v>
      </c>
      <c r="D39" s="131" t="s">
        <v>49</v>
      </c>
      <c r="E39" s="131"/>
      <c r="F39" s="132">
        <v>2.2799999999999998</v>
      </c>
      <c r="G39" s="133">
        <v>0</v>
      </c>
      <c r="H39" s="134">
        <f>ROUND(B39*F39*(1+G39),2)</f>
        <v>912</v>
      </c>
    </row>
    <row r="40" spans="1:256" ht="24.5" customHeight="1" x14ac:dyDescent="0.15">
      <c r="A40" s="128" t="s">
        <v>50</v>
      </c>
      <c r="B40" s="129">
        <v>800</v>
      </c>
      <c r="C40" s="130" t="s">
        <v>46</v>
      </c>
      <c r="D40" s="131" t="s">
        <v>51</v>
      </c>
      <c r="E40" s="131"/>
      <c r="F40" s="132">
        <v>4.5599999999999996</v>
      </c>
      <c r="G40" s="133">
        <v>0</v>
      </c>
      <c r="H40" s="134">
        <f>ROUND(B40*F40*(1+G40),2)</f>
        <v>3648</v>
      </c>
    </row>
    <row r="41" spans="1:256" ht="24.5" customHeight="1" x14ac:dyDescent="0.15">
      <c r="A41" s="128" t="s">
        <v>52</v>
      </c>
      <c r="B41" s="129">
        <v>1300</v>
      </c>
      <c r="C41" s="130" t="s">
        <v>46</v>
      </c>
      <c r="D41" s="131" t="s">
        <v>53</v>
      </c>
      <c r="E41" s="131"/>
      <c r="F41" s="132">
        <v>5.13</v>
      </c>
      <c r="G41" s="133">
        <v>0</v>
      </c>
      <c r="H41" s="134">
        <f>ROUND(B41*F41*(1+G41),2)</f>
        <v>6669</v>
      </c>
    </row>
    <row r="42" spans="1:256" ht="24.5" customHeight="1" x14ac:dyDescent="0.15">
      <c r="A42" s="53"/>
      <c r="B42" s="90"/>
      <c r="C42" s="54"/>
      <c r="D42" s="102"/>
      <c r="E42" s="102"/>
      <c r="F42" s="92"/>
      <c r="G42" s="91"/>
      <c r="H42" s="93" t="str">
        <f>IF(B42="","",ROUND(B42*F42*(1+G42),2))</f>
        <v/>
      </c>
    </row>
    <row r="43" spans="1:256" ht="24" customHeight="1" x14ac:dyDescent="0.15">
      <c r="A43" s="53"/>
      <c r="B43" s="90"/>
      <c r="C43" s="54"/>
      <c r="D43" s="102"/>
      <c r="E43" s="102"/>
      <c r="F43" s="92"/>
      <c r="G43" s="91"/>
      <c r="H43" s="93" t="str">
        <f>IF(B43="","",ROUND(B43*F43*(1+G43),2))</f>
        <v/>
      </c>
    </row>
    <row r="44" spans="1:256" ht="24.5" customHeight="1" x14ac:dyDescent="0.15">
      <c r="A44" s="53"/>
      <c r="B44" s="90"/>
      <c r="C44" s="54"/>
      <c r="D44" s="102"/>
      <c r="E44" s="102"/>
      <c r="F44" s="92"/>
      <c r="G44" s="91"/>
      <c r="H44" s="93" t="str">
        <f>IF(B44="","",ROUND(B44*F44*(1+G44),2))</f>
        <v/>
      </c>
    </row>
    <row r="45" spans="1:256" ht="24.5" customHeight="1" x14ac:dyDescent="0.15">
      <c r="A45" s="53"/>
      <c r="B45" s="90"/>
      <c r="C45" s="54"/>
      <c r="D45" s="102"/>
      <c r="E45" s="102"/>
      <c r="F45" s="92"/>
      <c r="G45" s="91"/>
      <c r="H45" s="93" t="str">
        <f>IF(B45="","",ROUND(B45*F45*(1+G45),2))</f>
        <v/>
      </c>
    </row>
    <row r="46" spans="1:256" ht="29" customHeight="1" x14ac:dyDescent="0.15">
      <c r="A46" s="53"/>
      <c r="B46" s="90"/>
      <c r="C46" s="54"/>
      <c r="D46" s="102"/>
      <c r="E46" s="102"/>
      <c r="F46" s="92"/>
      <c r="G46" s="91"/>
      <c r="H46" s="93" t="str">
        <f>IF(B46="","",ROUND(B46*F46*(1+G46),2))</f>
        <v/>
      </c>
    </row>
    <row r="47" spans="1:256" ht="15" customHeight="1" x14ac:dyDescent="0.15">
      <c r="A47" s="55"/>
      <c r="B47" s="54"/>
      <c r="C47" s="54"/>
      <c r="D47" s="103"/>
      <c r="E47" s="103"/>
      <c r="F47" s="56"/>
      <c r="G47" s="54"/>
      <c r="H47" s="93"/>
      <c r="I47" s="57"/>
      <c r="J47" s="58"/>
      <c r="K47" s="59"/>
      <c r="L47" s="104"/>
      <c r="M47" s="104"/>
      <c r="N47" s="60"/>
      <c r="O47" s="61"/>
      <c r="P47" s="62"/>
      <c r="Q47" s="57"/>
      <c r="R47" s="58"/>
      <c r="S47" s="59"/>
      <c r="T47" s="104"/>
      <c r="U47" s="104"/>
      <c r="V47" s="60"/>
      <c r="W47" s="61"/>
      <c r="X47" s="62"/>
      <c r="Y47" s="57"/>
      <c r="Z47" s="58"/>
      <c r="AA47" s="59"/>
      <c r="AB47" s="104"/>
      <c r="AC47" s="104"/>
      <c r="AD47" s="60"/>
      <c r="AE47" s="61"/>
      <c r="AF47" s="62"/>
      <c r="AG47" s="57"/>
      <c r="AH47" s="58"/>
      <c r="AI47" s="59"/>
      <c r="AJ47" s="104"/>
      <c r="AK47" s="104"/>
      <c r="AL47" s="60"/>
      <c r="AM47" s="61"/>
      <c r="AN47" s="62"/>
      <c r="AO47" s="57"/>
      <c r="AP47" s="58"/>
      <c r="AQ47" s="59"/>
      <c r="AR47" s="104"/>
      <c r="AS47" s="104"/>
      <c r="AT47" s="60"/>
      <c r="AU47" s="61"/>
      <c r="AV47" s="62"/>
      <c r="AW47" s="57"/>
      <c r="AX47" s="58"/>
      <c r="AY47" s="59"/>
      <c r="AZ47" s="104"/>
      <c r="BA47" s="104"/>
      <c r="BB47" s="60"/>
      <c r="BC47" s="61"/>
      <c r="BD47" s="62"/>
      <c r="BE47" s="57"/>
      <c r="BF47" s="58"/>
      <c r="BG47" s="59"/>
      <c r="BH47" s="104"/>
      <c r="BI47" s="104"/>
      <c r="BJ47" s="60"/>
      <c r="BK47" s="61"/>
      <c r="BL47" s="62"/>
      <c r="BM47" s="57"/>
      <c r="BN47" s="58"/>
      <c r="BO47" s="59"/>
      <c r="BP47" s="104"/>
      <c r="BQ47" s="104"/>
      <c r="BR47" s="60"/>
      <c r="BS47" s="61"/>
      <c r="BT47" s="62"/>
      <c r="BU47" s="57"/>
      <c r="BV47" s="58"/>
      <c r="BW47" s="59"/>
      <c r="BX47" s="104"/>
      <c r="BY47" s="104"/>
      <c r="BZ47" s="60"/>
      <c r="CA47" s="61"/>
      <c r="CB47" s="62"/>
      <c r="CC47" s="57"/>
      <c r="CD47" s="58"/>
      <c r="CE47" s="59"/>
      <c r="CF47" s="104"/>
      <c r="CG47" s="104"/>
      <c r="CH47" s="60"/>
      <c r="CI47" s="61"/>
      <c r="CJ47" s="62"/>
      <c r="CK47" s="57"/>
      <c r="CL47" s="58"/>
      <c r="CM47" s="59"/>
      <c r="CN47" s="104"/>
      <c r="CO47" s="104"/>
      <c r="CP47" s="60"/>
      <c r="CQ47" s="61"/>
      <c r="CR47" s="62"/>
      <c r="CS47" s="57"/>
      <c r="CT47" s="58"/>
      <c r="CU47" s="59"/>
      <c r="CV47" s="104"/>
      <c r="CW47" s="104"/>
      <c r="CX47" s="60"/>
      <c r="CY47" s="61"/>
      <c r="CZ47" s="62"/>
      <c r="DA47" s="57"/>
      <c r="DB47" s="58"/>
      <c r="DC47" s="59"/>
      <c r="DD47" s="104"/>
      <c r="DE47" s="104"/>
      <c r="DF47" s="60"/>
      <c r="DG47" s="61"/>
      <c r="DH47" s="62"/>
      <c r="DI47" s="57"/>
      <c r="DJ47" s="58"/>
      <c r="DK47" s="59"/>
      <c r="DL47" s="104"/>
      <c r="DM47" s="104"/>
      <c r="DN47" s="60"/>
      <c r="DO47" s="61"/>
      <c r="DP47" s="62"/>
      <c r="DQ47" s="57"/>
      <c r="DR47" s="58"/>
      <c r="DS47" s="59"/>
      <c r="DT47" s="104"/>
      <c r="DU47" s="104"/>
      <c r="DV47" s="60"/>
      <c r="DW47" s="61"/>
      <c r="DX47" s="62"/>
      <c r="DY47" s="57"/>
      <c r="DZ47" s="58"/>
      <c r="EA47" s="59"/>
      <c r="EB47" s="104"/>
      <c r="EC47" s="104"/>
      <c r="ED47" s="60"/>
      <c r="EE47" s="61"/>
      <c r="EF47" s="62"/>
      <c r="EG47" s="57"/>
      <c r="EH47" s="58"/>
      <c r="EI47" s="59"/>
      <c r="EJ47" s="104"/>
      <c r="EK47" s="104"/>
      <c r="EL47" s="60"/>
      <c r="EM47" s="61"/>
      <c r="EN47" s="62"/>
      <c r="EO47" s="57"/>
      <c r="EP47" s="58"/>
      <c r="EQ47" s="59"/>
      <c r="ER47" s="104"/>
      <c r="ES47" s="104"/>
      <c r="ET47" s="60"/>
      <c r="EU47" s="61"/>
      <c r="EV47" s="62"/>
      <c r="EW47" s="57"/>
      <c r="EX47" s="58"/>
      <c r="EY47" s="59"/>
      <c r="EZ47" s="104"/>
      <c r="FA47" s="104"/>
      <c r="FB47" s="60"/>
      <c r="FC47" s="61"/>
      <c r="FD47" s="62"/>
      <c r="FE47" s="57"/>
      <c r="FF47" s="58"/>
      <c r="FG47" s="59"/>
      <c r="FH47" s="104"/>
      <c r="FI47" s="104"/>
      <c r="FJ47" s="60"/>
      <c r="FK47" s="61"/>
      <c r="FL47" s="62"/>
      <c r="FM47" s="57"/>
      <c r="FN47" s="58"/>
      <c r="FO47" s="59"/>
      <c r="FP47" s="104"/>
      <c r="FQ47" s="104"/>
      <c r="FR47" s="60"/>
      <c r="FS47" s="61"/>
      <c r="FT47" s="62"/>
      <c r="FU47" s="57"/>
      <c r="FV47" s="58"/>
      <c r="FW47" s="59"/>
      <c r="FX47" s="104"/>
      <c r="FY47" s="104"/>
      <c r="FZ47" s="60"/>
      <c r="GA47" s="61"/>
      <c r="GB47" s="62"/>
      <c r="GC47" s="57"/>
      <c r="GD47" s="58"/>
      <c r="GE47" s="59"/>
      <c r="GF47" s="104"/>
      <c r="GG47" s="104"/>
      <c r="GH47" s="60"/>
      <c r="GI47" s="61"/>
      <c r="GJ47" s="62"/>
      <c r="GK47" s="57"/>
      <c r="GL47" s="58"/>
      <c r="GM47" s="59"/>
      <c r="GN47" s="104"/>
      <c r="GO47" s="104"/>
      <c r="GP47" s="60"/>
      <c r="GQ47" s="61"/>
      <c r="GR47" s="62"/>
      <c r="GS47" s="57"/>
      <c r="GT47" s="58"/>
      <c r="GU47" s="59"/>
      <c r="GV47" s="104"/>
      <c r="GW47" s="104"/>
      <c r="GX47" s="60"/>
      <c r="GY47" s="61"/>
      <c r="GZ47" s="62"/>
      <c r="HA47" s="57"/>
      <c r="HB47" s="58"/>
      <c r="HC47" s="59"/>
      <c r="HD47" s="104"/>
      <c r="HE47" s="104"/>
      <c r="HF47" s="60"/>
      <c r="HG47" s="61"/>
      <c r="HH47" s="62"/>
      <c r="HI47" s="57"/>
      <c r="HJ47" s="58"/>
      <c r="HK47" s="59"/>
      <c r="HL47" s="104"/>
      <c r="HM47" s="104"/>
      <c r="HN47" s="60"/>
      <c r="HO47" s="61"/>
      <c r="HP47" s="62"/>
      <c r="HQ47" s="57"/>
      <c r="HR47" s="58"/>
      <c r="HS47" s="59"/>
      <c r="HT47" s="104"/>
      <c r="HU47" s="104"/>
      <c r="HV47" s="60"/>
      <c r="HW47" s="61"/>
      <c r="HX47" s="62"/>
      <c r="HY47" s="57"/>
      <c r="HZ47" s="58"/>
      <c r="IA47" s="59"/>
      <c r="IB47" s="104"/>
      <c r="IC47" s="104"/>
      <c r="ID47" s="60"/>
      <c r="IE47" s="61"/>
      <c r="IF47" s="62"/>
      <c r="IG47" s="57"/>
      <c r="IH47" s="58"/>
      <c r="II47" s="59"/>
      <c r="IJ47" s="104"/>
      <c r="IK47" s="104"/>
      <c r="IL47" s="60"/>
      <c r="IM47" s="61"/>
      <c r="IN47" s="62"/>
      <c r="IO47" s="57"/>
      <c r="IP47" s="58"/>
      <c r="IQ47" s="59"/>
      <c r="IR47" s="104"/>
      <c r="IS47" s="104"/>
      <c r="IT47" s="60"/>
      <c r="IU47" s="61"/>
      <c r="IV47" s="62"/>
    </row>
    <row r="48" spans="1:256" x14ac:dyDescent="0.15">
      <c r="A48" s="115"/>
      <c r="B48" s="116"/>
      <c r="C48" s="116"/>
      <c r="D48" s="116"/>
      <c r="E48" s="117"/>
      <c r="F48" s="105" t="s">
        <v>54</v>
      </c>
      <c r="G48" s="105"/>
      <c r="H48" s="94">
        <f>SUM(H38:H46)</f>
        <v>14877</v>
      </c>
    </row>
    <row r="49" spans="1:8" x14ac:dyDescent="0.15">
      <c r="A49" s="118"/>
      <c r="B49" s="119"/>
      <c r="C49" s="119"/>
      <c r="D49" s="119"/>
      <c r="E49" s="120"/>
      <c r="F49" s="105" t="s">
        <v>55</v>
      </c>
      <c r="G49" s="105"/>
      <c r="H49" s="94">
        <v>0</v>
      </c>
    </row>
    <row r="50" spans="1:8" x14ac:dyDescent="0.15">
      <c r="A50" s="121"/>
      <c r="B50" s="122"/>
      <c r="C50" s="122"/>
      <c r="D50" s="122"/>
      <c r="E50" s="123"/>
      <c r="F50" s="105" t="s">
        <v>56</v>
      </c>
      <c r="G50" s="105"/>
      <c r="H50" s="94">
        <f>H48+H49</f>
        <v>14877</v>
      </c>
    </row>
    <row r="51" spans="1:8" ht="9" customHeight="1" x14ac:dyDescent="0.15">
      <c r="A51" s="63"/>
      <c r="B51" s="64"/>
      <c r="C51" s="64"/>
      <c r="D51" s="65"/>
      <c r="E51" s="65"/>
      <c r="F51" s="66"/>
      <c r="G51" s="66"/>
      <c r="H51" s="67"/>
    </row>
    <row r="52" spans="1:8" x14ac:dyDescent="0.15">
      <c r="A52" s="68" t="s">
        <v>22</v>
      </c>
      <c r="B52" s="69"/>
      <c r="C52" s="106" t="s">
        <v>57</v>
      </c>
      <c r="D52" s="106"/>
      <c r="E52" s="70"/>
      <c r="F52" s="68" t="s">
        <v>23</v>
      </c>
      <c r="G52" s="71"/>
      <c r="H52" s="72" t="s">
        <v>58</v>
      </c>
    </row>
    <row r="53" spans="1:8" x14ac:dyDescent="0.15">
      <c r="A53" s="73" t="s">
        <v>59</v>
      </c>
      <c r="B53" s="74"/>
      <c r="C53" s="95"/>
      <c r="D53" s="95"/>
      <c r="E53" s="95"/>
      <c r="F53" s="96"/>
      <c r="G53" s="96"/>
      <c r="H53" s="97"/>
    </row>
    <row r="54" spans="1:8" ht="19.5" customHeight="1" x14ac:dyDescent="0.15">
      <c r="A54" s="78" t="s">
        <v>60</v>
      </c>
      <c r="B54" s="79"/>
      <c r="C54" s="80"/>
      <c r="D54" s="80"/>
      <c r="E54" s="80"/>
      <c r="F54" s="81"/>
      <c r="G54" s="81"/>
      <c r="H54" s="82"/>
    </row>
    <row r="55" spans="1:8" ht="19.5" customHeight="1" x14ac:dyDescent="0.15">
      <c r="A55" s="78" t="s">
        <v>61</v>
      </c>
      <c r="B55" s="79"/>
      <c r="C55" s="80"/>
      <c r="D55" s="80"/>
      <c r="E55" s="80"/>
      <c r="F55" s="81"/>
      <c r="G55" s="81"/>
      <c r="H55" s="82"/>
    </row>
    <row r="56" spans="1:8" x14ac:dyDescent="0.15">
      <c r="A56" s="112"/>
      <c r="B56" s="113"/>
      <c r="C56" s="113"/>
      <c r="D56" s="113"/>
      <c r="E56" s="113"/>
      <c r="F56" s="113"/>
      <c r="G56" s="113"/>
      <c r="H56" s="114"/>
    </row>
    <row r="57" spans="1:8" x14ac:dyDescent="0.15">
      <c r="A57" s="112"/>
      <c r="B57" s="113"/>
      <c r="C57" s="113"/>
      <c r="D57" s="113"/>
      <c r="E57" s="113"/>
      <c r="F57" s="113"/>
      <c r="G57" s="113"/>
      <c r="H57" s="114"/>
    </row>
    <row r="58" spans="1:8" x14ac:dyDescent="0.15">
      <c r="A58" s="73"/>
      <c r="B58" s="74"/>
      <c r="C58" s="75"/>
      <c r="D58" s="75"/>
      <c r="E58" s="75"/>
      <c r="F58" s="76"/>
      <c r="G58" s="76"/>
      <c r="H58" s="77"/>
    </row>
    <row r="59" spans="1:8" ht="15.75" customHeight="1" x14ac:dyDescent="0.15">
      <c r="A59" s="107" t="s">
        <v>24</v>
      </c>
      <c r="B59" s="107"/>
      <c r="C59" s="107"/>
      <c r="D59" s="107"/>
      <c r="E59" s="107"/>
      <c r="F59" s="107"/>
      <c r="G59" s="107"/>
      <c r="H59" s="107"/>
    </row>
    <row r="60" spans="1:8" ht="42.75" customHeight="1" x14ac:dyDescent="0.15">
      <c r="A60" s="83" t="s">
        <v>25</v>
      </c>
      <c r="B60" s="84"/>
      <c r="C60" s="85"/>
      <c r="D60" s="86"/>
      <c r="E60" s="87" t="s">
        <v>3</v>
      </c>
      <c r="F60" s="88"/>
      <c r="G60" s="88"/>
      <c r="H60" s="89"/>
    </row>
  </sheetData>
  <mergeCells count="82">
    <mergeCell ref="F48:G48"/>
    <mergeCell ref="F49:G49"/>
    <mergeCell ref="F50:G50"/>
    <mergeCell ref="C52:D52"/>
    <mergeCell ref="A59:H59"/>
    <mergeCell ref="A56:H57"/>
    <mergeCell ref="A48:E50"/>
    <mergeCell ref="HL47:HM47"/>
    <mergeCell ref="HT47:HU47"/>
    <mergeCell ref="IB47:IC47"/>
    <mergeCell ref="IJ47:IK47"/>
    <mergeCell ref="IR47:IS47"/>
    <mergeCell ref="FX47:FY47"/>
    <mergeCell ref="GF47:GG47"/>
    <mergeCell ref="GN47:GO47"/>
    <mergeCell ref="GV47:GW47"/>
    <mergeCell ref="HD47:HE47"/>
    <mergeCell ref="EJ47:EK47"/>
    <mergeCell ref="ER47:ES47"/>
    <mergeCell ref="EZ47:FA47"/>
    <mergeCell ref="FH47:FI47"/>
    <mergeCell ref="FP47:FQ47"/>
    <mergeCell ref="CV47:CW47"/>
    <mergeCell ref="DD47:DE47"/>
    <mergeCell ref="DL47:DM47"/>
    <mergeCell ref="DT47:DU47"/>
    <mergeCell ref="EB47:EC47"/>
    <mergeCell ref="BH47:BI47"/>
    <mergeCell ref="BP47:BQ47"/>
    <mergeCell ref="BX47:BY47"/>
    <mergeCell ref="CF47:CG47"/>
    <mergeCell ref="CN47:CO47"/>
    <mergeCell ref="T47:U47"/>
    <mergeCell ref="AB47:AC47"/>
    <mergeCell ref="AJ47:AK47"/>
    <mergeCell ref="AR47:AS47"/>
    <mergeCell ref="AZ47:BA47"/>
    <mergeCell ref="D44:E44"/>
    <mergeCell ref="D45:E45"/>
    <mergeCell ref="D46:E46"/>
    <mergeCell ref="D47:E47"/>
    <mergeCell ref="L47:M47"/>
    <mergeCell ref="D39:E39"/>
    <mergeCell ref="D40:E40"/>
    <mergeCell ref="D41:E41"/>
    <mergeCell ref="D42:E42"/>
    <mergeCell ref="D43:E43"/>
    <mergeCell ref="D34:H34"/>
    <mergeCell ref="D35:H35"/>
    <mergeCell ref="D36:H36"/>
    <mergeCell ref="D37:E37"/>
    <mergeCell ref="D38:E38"/>
    <mergeCell ref="D29:H29"/>
    <mergeCell ref="D30:H30"/>
    <mergeCell ref="A31:H31"/>
    <mergeCell ref="D32:H32"/>
    <mergeCell ref="D33:H33"/>
    <mergeCell ref="D24:H24"/>
    <mergeCell ref="A25:H25"/>
    <mergeCell ref="D26:H26"/>
    <mergeCell ref="D27:H27"/>
    <mergeCell ref="D28:H28"/>
    <mergeCell ref="D19:H19"/>
    <mergeCell ref="D20:H20"/>
    <mergeCell ref="D21:H21"/>
    <mergeCell ref="D22:H22"/>
    <mergeCell ref="D23:H23"/>
    <mergeCell ref="D14:H14"/>
    <mergeCell ref="D15:H15"/>
    <mergeCell ref="D16:H16"/>
    <mergeCell ref="A17:H17"/>
    <mergeCell ref="D18:H18"/>
    <mergeCell ref="A9:H9"/>
    <mergeCell ref="D10:H10"/>
    <mergeCell ref="D11:H11"/>
    <mergeCell ref="D12:H12"/>
    <mergeCell ref="D13:H13"/>
    <mergeCell ref="D1:E6"/>
    <mergeCell ref="G1:H2"/>
    <mergeCell ref="G3:H4"/>
    <mergeCell ref="G5:H6"/>
    <mergeCell ref="A8:H8"/>
  </mergeCells>
  <hyperlinks>
    <hyperlink ref="D23" r:id="rId1" xr:uid="{D309ED9A-ACE0-E74A-B47F-BB28B767D5C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Baume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Barcelos</cp:lastModifiedBy>
  <dcterms:created xsi:type="dcterms:W3CDTF">2026-05-21T22:20:28Z</dcterms:created>
  <dcterms:modified xsi:type="dcterms:W3CDTF">2026-05-21T22:21:21Z</dcterms:modified>
</cp:coreProperties>
</file>