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760" windowWidth="38160" windowHeight="40720" tabRatio="600" firstSheet="0" activeTab="0" autoFilterDateGrouping="1"/>
  </bookViews>
  <sheets>
    <sheet xmlns:r="http://schemas.openxmlformats.org/officeDocument/2006/relationships" name="PEDIDO 2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\ #,##0.00000"/>
    <numFmt numFmtId="166" formatCode="&quot;R$&quot;\ #,##0.00"/>
    <numFmt numFmtId="167" formatCode="\R\$\ #,##0.00000"/>
    <numFmt numFmtId="168" formatCode="\R\$\ #,##0.00"/>
  </numFmts>
  <fonts count="17">
    <font>
      <name val="Arial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sz val="10"/>
    </font>
    <font>
      <name val="Verdana"/>
      <family val="2"/>
      <b val="1"/>
      <color indexed="8"/>
      <sz val="10"/>
    </font>
    <font>
      <name val="Verdana"/>
      <family val="2"/>
      <b val="1"/>
      <sz val="10"/>
    </font>
    <font>
      <name val="Verdana"/>
      <family val="2"/>
      <b val="1"/>
      <i val="1"/>
      <sz val="9"/>
    </font>
    <font>
      <name val="Arial"/>
      <family val="2"/>
      <sz val="8"/>
    </font>
    <font>
      <name val="Calibri"/>
      <family val="2"/>
      <color theme="1"/>
      <sz val="11"/>
    </font>
    <font>
      <name val="Times New Roman"/>
      <family val="1"/>
      <b val="1"/>
      <color rgb="FF333333"/>
      <sz val="10"/>
    </font>
    <font>
      <name val="Times New Roman"/>
      <family val="1"/>
      <color rgb="FF333333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Arial"/>
      <family val="2"/>
      <sz val="8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9">
    <xf numFmtId="0" fontId="0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9" fillId="0" borderId="18"/>
    <xf numFmtId="44" fontId="12" fillId="0" borderId="18"/>
    <xf numFmtId="0" fontId="9" fillId="0" borderId="18"/>
    <xf numFmtId="0" fontId="9" fillId="0" borderId="18"/>
    <xf numFmtId="43" fontId="9" fillId="0" borderId="18"/>
  </cellStyleXfs>
  <cellXfs count="138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5" pivotButton="0" quotePrefix="0" xfId="0"/>
    <xf numFmtId="0" fontId="6" fillId="0" borderId="6" pivotButton="0" quotePrefix="0" xfId="0"/>
    <xf numFmtId="164" fontId="1" fillId="0" borderId="0" pivotButton="0" quotePrefix="0" xfId="1"/>
    <xf numFmtId="0" fontId="6" fillId="0" borderId="8" pivotButton="0" quotePrefix="0" xfId="0"/>
    <xf numFmtId="164" fontId="1" fillId="0" borderId="6" applyAlignment="1" pivotButton="0" quotePrefix="0" xfId="1">
      <alignment horizontal="left"/>
    </xf>
    <xf numFmtId="14" fontId="6" fillId="0" borderId="6" applyAlignment="1" pivotButton="0" quotePrefix="0" xfId="0">
      <alignment horizontal="left"/>
    </xf>
    <xf numFmtId="14" fontId="6" fillId="0" borderId="8" applyAlignment="1" pivotButton="0" quotePrefix="0" xfId="0">
      <alignment horizontal="left"/>
    </xf>
    <xf numFmtId="0" fontId="8" fillId="0" borderId="16" applyAlignment="1" pivotButton="0" quotePrefix="0" xfId="0">
      <alignment horizontal="center"/>
    </xf>
    <xf numFmtId="0" fontId="8" fillId="0" borderId="16" pivotButton="0" quotePrefix="0" xfId="0"/>
    <xf numFmtId="164" fontId="0" fillId="0" borderId="0" pivotButton="0" quotePrefix="0" xfId="0"/>
    <xf numFmtId="0" fontId="0" fillId="0" borderId="22" pivotButton="0" quotePrefix="0" xfId="0"/>
    <xf numFmtId="0" fontId="8" fillId="0" borderId="32" applyAlignment="1" pivotButton="0" quotePrefix="0" xfId="0">
      <alignment horizontal="center"/>
    </xf>
    <xf numFmtId="4" fontId="8" fillId="0" borderId="16" applyAlignment="1" pivotButton="0" quotePrefix="0" xfId="0">
      <alignment horizontal="center"/>
    </xf>
    <xf numFmtId="0" fontId="15" fillId="0" borderId="1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4" fontId="15" fillId="0" borderId="33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166" fontId="8" fillId="2" borderId="36" applyAlignment="1" pivotButton="0" quotePrefix="0" xfId="0">
      <alignment horizontal="left"/>
    </xf>
    <xf numFmtId="166" fontId="16" fillId="0" borderId="34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2" fontId="13" fillId="2" borderId="38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0" fontId="13" fillId="2" borderId="38" applyAlignment="1" pivotButton="0" quotePrefix="0" xfId="0">
      <alignment horizontal="center"/>
    </xf>
    <xf numFmtId="0" fontId="13" fillId="2" borderId="40" pivotButton="0" quotePrefix="0" xfId="0"/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8" fillId="0" borderId="38" applyAlignment="1" pivotButton="0" quotePrefix="0" xfId="0">
      <alignment horizontal="center"/>
    </xf>
    <xf numFmtId="164" fontId="15" fillId="0" borderId="41" applyAlignment="1" pivotButton="0" quotePrefix="0" xfId="0">
      <alignment horizontal="center"/>
    </xf>
    <xf numFmtId="164" fontId="15" fillId="0" borderId="42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left"/>
    </xf>
    <xf numFmtId="0" fontId="6" fillId="0" borderId="23" applyAlignment="1" pivotButton="0" quotePrefix="0" xfId="0">
      <alignment horizontal="left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14" fillId="0" borderId="43" applyAlignment="1" pivotButton="0" quotePrefix="0" xfId="0">
      <alignment horizontal="center" vertical="center" wrapText="1"/>
    </xf>
    <xf numFmtId="0" fontId="14" fillId="0" borderId="22" pivotButton="0" quotePrefix="0" xfId="0"/>
    <xf numFmtId="0" fontId="14" fillId="0" borderId="28" pivotButton="0" quotePrefix="0" xfId="0"/>
    <xf numFmtId="0" fontId="14" fillId="0" borderId="18" pivotButton="0" quotePrefix="0" xfId="0"/>
    <xf numFmtId="0" fontId="14" fillId="0" borderId="24" pivotButton="0" quotePrefix="0" xfId="0"/>
    <xf numFmtId="0" fontId="14" fillId="0" borderId="27" pivotButton="0" quotePrefix="0" xfId="0"/>
    <xf numFmtId="0" fontId="14" fillId="0" borderId="29" pivotButton="0" quotePrefix="0" xfId="0"/>
    <xf numFmtId="164" fontId="1" fillId="0" borderId="0" pivotButton="0" quotePrefix="0" xfId="1"/>
    <xf numFmtId="0" fontId="0" fillId="0" borderId="11" pivotButton="0" quotePrefix="0" xfId="0"/>
    <xf numFmtId="0" fontId="3" fillId="0" borderId="14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  <xf numFmtId="0" fontId="5" fillId="0" borderId="15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0" fontId="6" fillId="0" borderId="5" applyAlignment="1" pivotButton="0" quotePrefix="0" xfId="0">
      <alignment horizontal="left"/>
    </xf>
    <xf numFmtId="0" fontId="6" fillId="0" borderId="12" applyAlignment="1" pivotButton="0" quotePrefix="0" xfId="0">
      <alignment horizontal="left"/>
    </xf>
    <xf numFmtId="0" fontId="0" fillId="0" borderId="2" pivotButton="0" quotePrefix="0" xfId="0"/>
    <xf numFmtId="0" fontId="0" fillId="0" borderId="9" pivotButton="0" quotePrefix="0" xfId="0"/>
    <xf numFmtId="0" fontId="4" fillId="0" borderId="15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0" pivotButton="0" quotePrefix="0" xfId="0"/>
    <xf numFmtId="0" fontId="6" fillId="0" borderId="13" applyAlignment="1" pivotButton="0" quotePrefix="0" xfId="0">
      <alignment horizontal="left"/>
    </xf>
    <xf numFmtId="0" fontId="6" fillId="0" borderId="31" applyAlignment="1" pivotButton="0" quotePrefix="0" xfId="0">
      <alignment horizontal="left"/>
    </xf>
    <xf numFmtId="164" fontId="1" fillId="0" borderId="18" pivotButton="0" quotePrefix="0" xfId="1"/>
    <xf numFmtId="0" fontId="0" fillId="0" borderId="24" pivotButton="0" quotePrefix="0" xfId="0"/>
    <xf numFmtId="0" fontId="5" fillId="0" borderId="11" pivotButton="0" quotePrefix="0" xfId="0"/>
    <xf numFmtId="14" fontId="6" fillId="0" borderId="15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7" fillId="0" borderId="14" applyAlignment="1" pivotButton="0" quotePrefix="0" xfId="0">
      <alignment horizontal="center"/>
    </xf>
    <xf numFmtId="14" fontId="5" fillId="0" borderId="9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28" applyAlignment="1" pivotButton="0" quotePrefix="0" xfId="0">
      <alignment horizontal="left"/>
    </xf>
    <xf numFmtId="3" fontId="5" fillId="0" borderId="25" applyAlignment="1" pivotButton="0" quotePrefix="0" xfId="0">
      <alignment horizontal="left"/>
    </xf>
    <xf numFmtId="3" fontId="5" fillId="0" borderId="18" applyAlignment="1" pivotButton="0" quotePrefix="0" xfId="0">
      <alignment horizontal="left"/>
    </xf>
    <xf numFmtId="3" fontId="5" fillId="0" borderId="24" applyAlignment="1" pivotButton="0" quotePrefix="0" xfId="0">
      <alignment horizontal="left"/>
    </xf>
    <xf numFmtId="0" fontId="5" fillId="0" borderId="25" applyAlignment="1" pivotButton="0" quotePrefix="0" xfId="0">
      <alignment horizontal="left"/>
    </xf>
    <xf numFmtId="0" fontId="5" fillId="0" borderId="18" applyAlignment="1" pivotButton="0" quotePrefix="0" xfId="0">
      <alignment horizontal="left"/>
    </xf>
    <xf numFmtId="0" fontId="5" fillId="0" borderId="24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6" fillId="0" borderId="9" applyAlignment="1" pivotButton="0" quotePrefix="0" xfId="0">
      <alignment horizontal="left"/>
    </xf>
    <xf numFmtId="0" fontId="6" fillId="0" borderId="14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5" fillId="0" borderId="26" applyAlignment="1" pivotButton="0" quotePrefix="0" xfId="0">
      <alignment horizontal="left"/>
    </xf>
    <xf numFmtId="0" fontId="5" fillId="0" borderId="27" applyAlignment="1" pivotButton="0" quotePrefix="0" xfId="0">
      <alignment horizontal="left"/>
    </xf>
    <xf numFmtId="0" fontId="5" fillId="0" borderId="29" applyAlignment="1" pivotButton="0" quotePrefix="0" xfId="0">
      <alignment horizontal="left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6" fillId="0" borderId="26" applyAlignment="1" pivotButton="0" quotePrefix="0" xfId="0">
      <alignment horizontal="left"/>
    </xf>
    <xf numFmtId="0" fontId="6" fillId="0" borderId="27" applyAlignment="1" pivotButton="0" quotePrefix="0" xfId="0">
      <alignment horizontal="left"/>
    </xf>
    <xf numFmtId="0" fontId="6" fillId="0" borderId="29" applyAlignment="1" pivotButton="0" quotePrefix="0" xfId="0">
      <alignment horizontal="left"/>
    </xf>
    <xf numFmtId="164" fontId="1" fillId="0" borderId="0" pivotButton="0" quotePrefix="0" xfId="1"/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3" fillId="0" borderId="30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left"/>
    </xf>
    <xf numFmtId="0" fontId="5" fillId="0" borderId="30" applyAlignment="1" pivotButton="0" quotePrefix="0" xfId="0">
      <alignment horizontal="left"/>
    </xf>
    <xf numFmtId="14" fontId="5" fillId="0" borderId="28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0" fontId="5" fillId="0" borderId="31" applyAlignment="1" pivotButton="0" quotePrefix="0" xfId="0">
      <alignment horizontal="left"/>
    </xf>
    <xf numFmtId="3" fontId="5" fillId="0" borderId="31" applyAlignment="1" pivotButton="0" quotePrefix="0" xfId="0">
      <alignment horizontal="left"/>
    </xf>
    <xf numFmtId="0" fontId="5" fillId="0" borderId="24" pivotButton="0" quotePrefix="0" xfId="0"/>
    <xf numFmtId="0" fontId="5" fillId="0" borderId="14" applyAlignment="1" pivotButton="0" quotePrefix="0" xfId="0">
      <alignment horizontal="left"/>
    </xf>
    <xf numFmtId="0" fontId="5" fillId="0" borderId="30" applyAlignment="1" pivotButton="0" quotePrefix="0" xfId="0">
      <alignment horizontal="center"/>
    </xf>
    <xf numFmtId="0" fontId="6" fillId="0" borderId="28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6" fillId="0" borderId="30" applyAlignment="1" pivotButton="0" quotePrefix="0" xfId="0">
      <alignment horizontal="center"/>
    </xf>
    <xf numFmtId="0" fontId="6" fillId="0" borderId="30" applyAlignment="1" pivotButton="0" quotePrefix="0" xfId="0">
      <alignment horizontal="left"/>
    </xf>
    <xf numFmtId="14" fontId="6" fillId="0" borderId="30" applyAlignment="1" pivotButton="0" quotePrefix="0" xfId="0">
      <alignment horizontal="left"/>
    </xf>
    <xf numFmtId="164" fontId="1" fillId="0" borderId="6" applyAlignment="1" pivotButton="0" quotePrefix="0" xfId="1">
      <alignment horizontal="left"/>
    </xf>
    <xf numFmtId="164" fontId="15" fillId="0" borderId="33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6" fontId="8" fillId="2" borderId="36" applyAlignment="1" pivotButton="0" quotePrefix="0" xfId="0">
      <alignment horizontal="left"/>
    </xf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14" fillId="0" borderId="44" applyAlignment="1" pivotButton="0" quotePrefix="0" xfId="0">
      <alignment horizontal="center" vertical="center" wrapText="1"/>
    </xf>
    <xf numFmtId="164" fontId="15" fillId="0" borderId="41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4" applyAlignment="1" pivotButton="0" quotePrefix="0" xfId="0">
      <alignment horizontal="left"/>
    </xf>
    <xf numFmtId="0" fontId="0" fillId="0" borderId="45" pivotButton="0" quotePrefix="0" xfId="0"/>
    <xf numFmtId="0" fontId="0" fillId="0" borderId="46" pivotButton="0" quotePrefix="0" xfId="0"/>
    <xf numFmtId="164" fontId="15" fillId="0" borderId="42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164" fontId="0" fillId="0" borderId="0" pivotButton="0" quotePrefix="0" xfId="0"/>
    <xf numFmtId="0" fontId="16" fillId="0" borderId="32" applyAlignment="1" pivotButton="0" quotePrefix="0" xfId="0">
      <alignment horizontal="center"/>
    </xf>
    <xf numFmtId="4" fontId="16" fillId="0" borderId="32" applyAlignment="1" pivotButton="0" quotePrefix="0" xfId="0">
      <alignment horizontal="center"/>
    </xf>
    <xf numFmtId="0" fontId="16" fillId="0" borderId="32" pivotButton="0" quotePrefix="0" xfId="0"/>
    <xf numFmtId="166" fontId="16" fillId="2" borderId="36" applyAlignment="1" pivotButton="0" quotePrefix="0" xfId="0">
      <alignment horizontal="left"/>
    </xf>
  </cellXfs>
  <cellStyles count="19">
    <cellStyle name="Normal" xfId="0" builtinId="0"/>
    <cellStyle name="Moeda" xfId="1"/>
    <cellStyle name="Normal 2" xfId="2"/>
    <cellStyle name="Normal 3" xfId="3"/>
    <cellStyle name="Normal 4" xfId="4"/>
    <cellStyle name="Normal 5" xfId="5"/>
    <cellStyle name="Vírgula 2" xfId="6"/>
    <cellStyle name="Moeda 3" xfId="7"/>
    <cellStyle name="Normal 2 2" xfId="8"/>
    <cellStyle name="Normal 3 3" xfId="9"/>
    <cellStyle name="Normal 4 2" xfId="10"/>
    <cellStyle name="Normal 5 2" xfId="11"/>
    <cellStyle name="Vírgula 2 2" xfId="12"/>
    <cellStyle name="Moeda 2" xfId="13"/>
    <cellStyle name="Normal 3 2" xfId="14"/>
    <cellStyle name="Moeda 4" xfId="15"/>
    <cellStyle name="Normal 3 4" xfId="16"/>
    <cellStyle name="Normal 5 3" xfId="17"/>
    <cellStyle name="Vírgula 2 3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tabSelected="1" workbookViewId="0">
      <selection activeCell="I23" sqref="I23"/>
    </sheetView>
  </sheetViews>
  <sheetFormatPr baseColWidth="10" defaultColWidth="8.83203125" defaultRowHeight="13"/>
  <cols>
    <col width="5.83203125" customWidth="1" style="62" min="1" max="1"/>
    <col width="8.1640625" customWidth="1" style="62" min="2" max="2"/>
    <col width="9.1640625" customWidth="1" style="62" min="3" max="3"/>
    <col width="49.6640625" customWidth="1" style="62" min="4" max="4"/>
    <col width="10" customWidth="1" style="97" min="5" max="5"/>
    <col width="22.6640625" customWidth="1" style="62" min="6" max="6"/>
    <col width="17" customWidth="1" style="62" min="7" max="7"/>
    <col width="15.1640625" customWidth="1" style="62" min="8" max="8"/>
    <col width="16.5" customWidth="1" style="62" min="9" max="9"/>
    <col width="17.5" customWidth="1" style="62" min="10" max="10"/>
  </cols>
  <sheetData>
    <row r="1" ht="23.25" customHeight="1" s="62">
      <c r="A1" s="83" t="inlineStr">
        <is>
          <t>DEMA INST. ELÉTRICAS, HIDRÁULICAS E MANUTENÇÕES LTDA.</t>
        </is>
      </c>
      <c r="B1" s="13" t="n"/>
      <c r="C1" s="13" t="n"/>
      <c r="D1" s="13" t="n"/>
      <c r="E1" s="13" t="n"/>
      <c r="F1" s="98" t="n"/>
    </row>
    <row r="2" ht="20.75" customHeight="1" s="62">
      <c r="A2" s="50" t="inlineStr">
        <is>
          <t>AV. BRIGADEIRO LUÍS ANTÔNIO, 3097 - Sala 907 - JD. PAULISTA, SÃO PAULO - SP</t>
        </is>
      </c>
      <c r="B2" s="99" t="n"/>
      <c r="C2" s="99" t="n"/>
      <c r="D2" s="99" t="n"/>
      <c r="E2" s="99" t="n"/>
      <c r="F2" s="100" t="n"/>
    </row>
    <row r="3" ht="20.75" customHeight="1" s="62">
      <c r="A3" s="101" t="inlineStr">
        <is>
          <t>PEDIDO DE COMPRA N° 003 - Elétrica - GTZ 84</t>
        </is>
      </c>
      <c r="B3" s="102" t="n"/>
      <c r="C3" s="102" t="n"/>
      <c r="D3" s="102" t="n"/>
      <c r="E3" s="102" t="n"/>
      <c r="F3" s="103" t="n"/>
    </row>
    <row r="4" ht="18.5" customHeight="1" s="62">
      <c r="A4" s="104" t="inlineStr">
        <is>
          <t>PEDIDO INTERNO:</t>
        </is>
      </c>
      <c r="B4" s="102" t="n"/>
      <c r="C4" s="103" t="n"/>
      <c r="D4" s="104" t="inlineStr">
        <is>
          <t>ORÇAMENTO 24107 - Plasticon Comércio Ltda</t>
        </is>
      </c>
      <c r="E4" s="102" t="n"/>
      <c r="F4" s="103" t="n"/>
    </row>
    <row r="5" ht="18.5" customHeight="1" s="62" thickBot="1">
      <c r="A5" s="105" t="inlineStr">
        <is>
          <t xml:space="preserve">Data: </t>
        </is>
      </c>
      <c r="B5" s="102" t="n"/>
      <c r="C5" s="103" t="n"/>
      <c r="D5" s="106" t="inlineStr">
        <is>
          <t>02/06/2026</t>
        </is>
      </c>
      <c r="E5" s="13" t="n"/>
      <c r="F5" s="98" t="n"/>
    </row>
    <row r="6" ht="16" customHeight="1" s="62">
      <c r="A6" s="107" t="inlineStr">
        <is>
          <t>Fornecedor:</t>
        </is>
      </c>
      <c r="B6" s="13" t="n"/>
      <c r="C6" s="98" t="n"/>
      <c r="D6" s="107" t="inlineStr">
        <is>
          <t>Plasticon Comércio Ltda</t>
        </is>
      </c>
      <c r="E6" s="13" t="n"/>
      <c r="F6" s="98" t="n"/>
    </row>
    <row r="7" ht="16" customHeight="1" s="62">
      <c r="A7" s="108" t="inlineStr">
        <is>
          <t xml:space="preserve">CNPJ: </t>
        </is>
      </c>
      <c r="C7" s="66" t="n"/>
      <c r="D7" s="108" t="inlineStr">
        <is>
          <t>06.001.123/0001-04</t>
        </is>
      </c>
      <c r="F7" s="66" t="n"/>
    </row>
    <row r="8" ht="16" customHeight="1" s="62">
      <c r="A8" s="108" t="inlineStr">
        <is>
          <t>Inscrição Estadual:</t>
        </is>
      </c>
      <c r="C8" s="66" t="n"/>
      <c r="D8" s="109" t="inlineStr"/>
      <c r="F8" s="66" t="n"/>
    </row>
    <row r="9" ht="16" customHeight="1" s="62">
      <c r="A9" s="108" t="inlineStr">
        <is>
          <t>End.:</t>
        </is>
      </c>
      <c r="C9" s="66" t="n"/>
      <c r="D9" s="110" t="inlineStr">
        <is>
          <t xml:space="preserve">Rua Auriverde, 1697 - Vila Independência - São Paulo/SP				</t>
        </is>
      </c>
      <c r="F9" s="66" t="n"/>
    </row>
    <row r="10" ht="16" customHeight="1" s="62">
      <c r="A10" s="108" t="inlineStr">
        <is>
          <t>CEP:</t>
        </is>
      </c>
      <c r="C10" s="66" t="n"/>
      <c r="D10" s="108" t="inlineStr">
        <is>
          <t xml:space="preserve">{supplier.postalCode}				</t>
        </is>
      </c>
      <c r="F10" s="66" t="n"/>
    </row>
    <row r="11" ht="16" customHeight="1" s="62">
      <c r="A11" s="108" t="inlineStr">
        <is>
          <t>Tel/Contato/e mail:</t>
        </is>
      </c>
      <c r="C11" s="66" t="n"/>
      <c r="D11" s="108" t="inlineStr">
        <is>
          <t>(11) 5181-3000 - renato@plasticon.com.br -  Renato Rodrigues</t>
        </is>
      </c>
      <c r="F11" s="66" t="n"/>
    </row>
    <row r="12" ht="21" customHeight="1" s="62" thickBot="1">
      <c r="A12" s="111" t="inlineStr">
        <is>
          <t>Condições de Pgto.:</t>
        </is>
      </c>
      <c r="B12" s="99" t="n"/>
      <c r="C12" s="100" t="n"/>
      <c r="D12" s="111" t="inlineStr">
        <is>
          <t>{quote.deliveryDays} DDL</t>
        </is>
      </c>
      <c r="E12" s="99" t="n"/>
      <c r="F12" s="100" t="n"/>
    </row>
    <row r="13" ht="18.5" customHeight="1" s="62" thickBot="1">
      <c r="A13" s="112" t="n"/>
      <c r="B13" s="102" t="n"/>
      <c r="C13" s="102" t="n"/>
      <c r="D13" s="102" t="n"/>
      <c r="E13" s="102" t="n"/>
      <c r="F13" s="103" t="n"/>
    </row>
    <row r="14" ht="17" customHeight="1" s="62">
      <c r="A14" s="57" t="inlineStr">
        <is>
          <t>Faturamento:</t>
        </is>
      </c>
      <c r="B14" s="13" t="n"/>
      <c r="C14" s="98" t="n"/>
      <c r="D14" s="113" t="inlineStr">
        <is>
          <t>GTZ 84</t>
        </is>
      </c>
      <c r="E14" s="13" t="n"/>
      <c r="F14" s="98" t="n"/>
    </row>
    <row r="15" ht="18" customHeight="1" s="62">
      <c r="A15" s="64" t="inlineStr">
        <is>
          <t xml:space="preserve">CNPJ: </t>
        </is>
      </c>
      <c r="C15" s="66" t="n"/>
      <c r="D15" s="108" t="inlineStr">
        <is>
          <t>48.950.512/0001-45</t>
        </is>
      </c>
      <c r="F15" s="66" t="n"/>
    </row>
    <row r="16" ht="19" customHeight="1" s="62">
      <c r="A16" s="64" t="inlineStr">
        <is>
          <t xml:space="preserve">Inscrição Estadual: </t>
        </is>
      </c>
      <c r="C16" s="66" t="n"/>
      <c r="D16" s="108" t="inlineStr">
        <is>
          <t xml:space="preserve">{project.ie}		</t>
        </is>
      </c>
      <c r="F16" s="66" t="n"/>
    </row>
    <row r="17" ht="19" customHeight="1" s="62">
      <c r="A17" s="64" t="inlineStr">
        <is>
          <t xml:space="preserve">End.: </t>
        </is>
      </c>
      <c r="C17" s="66" t="n"/>
      <c r="D17" s="114" t="inlineStr">
        <is>
          <t>Av. Ibirapuera, 1753 - Conj. 21 - Indianópolis - SP</t>
        </is>
      </c>
      <c r="F17" s="66" t="n"/>
    </row>
    <row r="18" ht="17" customHeight="1" s="62">
      <c r="A18" s="64" t="inlineStr">
        <is>
          <t xml:space="preserve">CEP:  </t>
        </is>
      </c>
      <c r="C18" s="66" t="n"/>
      <c r="D18" s="64" t="inlineStr">
        <is>
          <t>04029-100</t>
        </is>
      </c>
      <c r="F18" s="66" t="n"/>
    </row>
    <row r="19" ht="18.5" customHeight="1" s="62" thickBot="1">
      <c r="A19" s="86" t="inlineStr">
        <is>
          <t>Telefone:</t>
        </is>
      </c>
      <c r="B19" s="99" t="n"/>
      <c r="C19" s="100" t="n"/>
      <c r="D19" s="86" t="inlineStr">
        <is>
          <t>{project.phone}</t>
        </is>
      </c>
      <c r="E19" s="99" t="n"/>
      <c r="F19" s="100" t="n"/>
    </row>
    <row r="20" ht="18.5" customHeight="1" s="62" thickBot="1">
      <c r="A20" s="115" t="n"/>
      <c r="B20" s="102" t="n"/>
      <c r="C20" s="102" t="n"/>
      <c r="D20" s="102" t="n"/>
      <c r="E20" s="102" t="n"/>
      <c r="F20" s="103" t="n"/>
    </row>
    <row r="21" ht="20" customHeight="1" s="62" thickBot="1">
      <c r="A21" s="116" t="inlineStr">
        <is>
          <t>Cobrança:</t>
        </is>
      </c>
      <c r="B21" s="102" t="n"/>
      <c r="C21" s="103" t="n"/>
      <c r="D21" s="114" t="inlineStr">
        <is>
          <t>{project.billingEmail}</t>
        </is>
      </c>
      <c r="F21" s="66" t="n"/>
    </row>
    <row r="22" ht="18.5" customHeight="1" s="62" thickBot="1">
      <c r="A22" s="116" t="n"/>
      <c r="B22" s="102" t="n"/>
      <c r="C22" s="102" t="n"/>
      <c r="D22" s="102" t="n"/>
      <c r="E22" s="102" t="n"/>
      <c r="F22" s="103" t="n"/>
    </row>
    <row r="23" ht="20" customHeight="1" s="62" thickBot="1">
      <c r="A23" s="35" t="inlineStr">
        <is>
          <t>Prazo de entrega:</t>
        </is>
      </c>
      <c r="B23" s="102" t="n"/>
      <c r="C23" s="102" t="n"/>
      <c r="D23" s="117" t="inlineStr">
        <is>
          <t>Itens de estoque em até 2 dias para a Grande São Paulo após confirmação do pedido.</t>
        </is>
      </c>
      <c r="E23" s="102" t="n"/>
      <c r="F23" s="103" t="n"/>
    </row>
    <row r="24" ht="20" customHeight="1" s="62" thickBot="1">
      <c r="A24" s="3" t="inlineStr">
        <is>
          <t>Faturamento</t>
        </is>
      </c>
      <c r="B24" s="4" t="n"/>
      <c r="C24" s="4" t="n"/>
      <c r="D24" s="8" t="inlineStr">
        <is>
          <t>Não emitir nota fiscal após o dia 25</t>
        </is>
      </c>
      <c r="E24" s="118" t="n"/>
      <c r="F24" s="9" t="n"/>
    </row>
    <row r="25" ht="20" customHeight="1" s="62" thickBot="1">
      <c r="A25" s="3" t="inlineStr">
        <is>
          <t>Local de entrega:</t>
        </is>
      </c>
      <c r="B25" s="4" t="n"/>
      <c r="C25" s="6" t="n"/>
      <c r="D25" s="114" t="inlineStr">
        <is>
          <t>Av. Ibirapuera, 1753 - Conj. 21 - Indianópolis - SP</t>
        </is>
      </c>
      <c r="F25" s="66" t="n"/>
    </row>
    <row r="26" ht="18.5" customHeight="1" s="62" thickBot="1">
      <c r="A26" s="115" t="n"/>
      <c r="B26" s="102" t="n"/>
      <c r="C26" s="102" t="n"/>
      <c r="D26" s="102" t="n"/>
      <c r="E26" s="102" t="n"/>
      <c r="F26" s="103" t="n"/>
    </row>
    <row r="27" ht="20" customHeight="1" s="62" thickBot="1">
      <c r="A27" s="116" t="inlineStr">
        <is>
          <t>Horário para Entrega:</t>
        </is>
      </c>
      <c r="B27" s="102" t="n"/>
      <c r="C27" s="103" t="n"/>
      <c r="D27" s="116" t="inlineStr">
        <is>
          <t>8:00 HS AS 11:00 HS E DAS 13:00 HS AS 16:00 HS</t>
        </is>
      </c>
      <c r="E27" s="102" t="n"/>
      <c r="F27" s="103" t="n"/>
    </row>
    <row r="28" ht="18.5" customHeight="1" s="62" thickBot="1">
      <c r="A28" s="71" t="inlineStr">
        <is>
          <t>NÃO SERÁ ACEITO EM HIPOTESE NENHUMA NEGOCIAÇÃO DE TÍTULOS CONTRA TERCEIROS</t>
        </is>
      </c>
      <c r="B28" s="99" t="n"/>
      <c r="C28" s="99" t="n"/>
      <c r="D28" s="99" t="n"/>
      <c r="E28" s="99" t="n"/>
      <c r="F28" s="100" t="n"/>
    </row>
    <row r="29" ht="14" customHeight="1" s="62" thickBot="1">
      <c r="A29" s="16" t="inlineStr">
        <is>
          <t>ITEM</t>
        </is>
      </c>
      <c r="B29" s="17" t="inlineStr">
        <is>
          <t>QTDE</t>
        </is>
      </c>
      <c r="C29" s="21" t="inlineStr">
        <is>
          <t>UNID.</t>
        </is>
      </c>
      <c r="D29" s="17" t="inlineStr">
        <is>
          <t>DESCRIÇÃO</t>
        </is>
      </c>
      <c r="E29" s="119" t="inlineStr">
        <is>
          <t xml:space="preserve">UNIT </t>
        </is>
      </c>
      <c r="F29" s="18" t="inlineStr">
        <is>
          <t>TOTAL</t>
        </is>
      </c>
    </row>
    <row r="30" s="62">
      <c r="A30" s="134" t="inlineStr">
        <is>
          <t>CTO</t>
        </is>
      </c>
      <c r="B30" s="135" t="n">
        <v>500</v>
      </c>
      <c r="C30" s="134" t="inlineStr">
        <is>
          <t>PÇ</t>
        </is>
      </c>
      <c r="D30" s="136" t="inlineStr">
        <is>
          <t>Caixa Octogonal Teto Snap Fit® com tampa</t>
        </is>
      </c>
      <c r="E30" s="120" t="n">
        <v>2.15</v>
      </c>
      <c r="F30" s="137">
        <f>IF(OR(B30="",E30=""),"",ROUND(B30*E30,2))</f>
        <v/>
      </c>
    </row>
    <row r="31" s="62" thickBot="1">
      <c r="A31" s="134" t="inlineStr">
        <is>
          <t>ELC25O</t>
        </is>
      </c>
      <c r="B31" s="135" t="n">
        <v>80</v>
      </c>
      <c r="C31" s="134" t="inlineStr">
        <is>
          <t>ROLO</t>
        </is>
      </c>
      <c r="D31" s="136" t="inlineStr">
        <is>
          <t>Eletroduto Flexível Corrugado Médio de 25mm - PEAD OCRE - 50 metros</t>
        </is>
      </c>
      <c r="E31" s="120" t="n">
        <v>127</v>
      </c>
      <c r="F31" s="137">
        <f>IF(OR(B31="",E31=""),"",ROUND(B31*E31,2))</f>
        <v/>
      </c>
    </row>
    <row r="32" s="62">
      <c r="A32" s="134" t="inlineStr">
        <is>
          <t>ELC32O</t>
        </is>
      </c>
      <c r="B32" s="135" t="n">
        <v>10</v>
      </c>
      <c r="C32" s="134" t="inlineStr">
        <is>
          <t>ROLO</t>
        </is>
      </c>
      <c r="D32" s="136" t="inlineStr">
        <is>
          <t>Eletroduto Flexível Corrugado Médio de 32mm - PEAD OCRE - 50 metros</t>
        </is>
      </c>
      <c r="E32" s="120" t="n">
        <v>167</v>
      </c>
      <c r="F32" s="137">
        <f>IF(OR(B32="",E32=""),"",ROUND(B32*E32,2))</f>
        <v/>
      </c>
    </row>
    <row r="33">
      <c r="A33" s="32" t="n"/>
      <c r="B33" s="26" t="n"/>
      <c r="C33" s="28" t="n"/>
      <c r="D33" s="29" t="n"/>
      <c r="E33" s="122" t="n"/>
      <c r="F33" s="123">
        <f>IF(OR(B31="",E31=""),"",ROUND(B31*E31,2))</f>
        <v/>
      </c>
      <c r="H33" s="1" t="n"/>
    </row>
    <row r="34">
      <c r="A34" s="124" t="inlineStr">
        <is>
          <t>OBS: Pedido mínimo R$ 300,00. Trocas em até 60 dias às terças ou quintas-feiras. Preços válidos para materiais em estoque, consultar vendedor antes de fechar.</t>
        </is>
      </c>
      <c r="B34" s="13" t="n"/>
      <c r="C34" s="13" t="n"/>
      <c r="D34" s="98" t="n"/>
      <c r="E34" s="125" t="inlineStr">
        <is>
          <t>SUB TOTAL</t>
        </is>
      </c>
      <c r="F34" s="126">
        <f>SUM(F30:F32)</f>
        <v/>
      </c>
      <c r="H34" s="1" t="n"/>
    </row>
    <row r="35" ht="14" customHeight="1" s="62" thickBot="1">
      <c r="D35" s="66" t="n"/>
      <c r="E35" s="127" t="inlineStr">
        <is>
          <t>FRETE</t>
        </is>
      </c>
      <c r="F35" s="128" t="n">
        <v>0</v>
      </c>
      <c r="H35" s="1" t="n"/>
    </row>
    <row r="36">
      <c r="D36" s="66" t="n"/>
      <c r="E36" s="127" t="inlineStr">
        <is>
          <t>DESCONTO</t>
        </is>
      </c>
      <c r="F36" s="128" t="n">
        <v>0</v>
      </c>
      <c r="H36" s="1" t="n"/>
    </row>
    <row r="37">
      <c r="A37" s="129" t="n"/>
      <c r="B37" s="129" t="n"/>
      <c r="C37" s="129" t="n"/>
      <c r="D37" s="130" t="n"/>
      <c r="E37" s="131" t="inlineStr">
        <is>
          <t>TOTAL GERAL</t>
        </is>
      </c>
      <c r="F37" s="132">
        <f>F34+F35-F36</f>
        <v/>
      </c>
      <c r="H37" s="1" t="n"/>
    </row>
    <row r="38">
      <c r="A38" s="13" t="n"/>
      <c r="F38" s="133" t="n"/>
      <c r="H38" s="1" t="n"/>
    </row>
    <row r="39">
      <c r="H39" s="1" t="n"/>
    </row>
    <row r="40">
      <c r="H40" s="1" t="n"/>
    </row>
    <row r="41">
      <c r="H41" s="1" t="n"/>
    </row>
    <row r="42">
      <c r="H42" s="1" t="n"/>
    </row>
    <row r="43">
      <c r="H43" s="1" t="n"/>
    </row>
    <row r="44">
      <c r="H44" s="1" t="n"/>
    </row>
    <row r="45">
      <c r="H45" s="1" t="n"/>
    </row>
    <row r="46">
      <c r="H46" s="1" t="n"/>
    </row>
    <row r="47">
      <c r="H47" s="1" t="n"/>
    </row>
    <row r="48">
      <c r="H48" s="1" t="n"/>
    </row>
    <row r="49">
      <c r="H49" s="1" t="n"/>
    </row>
    <row r="50">
      <c r="H50" s="1" t="n"/>
    </row>
    <row r="51">
      <c r="H51" s="1" t="n"/>
    </row>
    <row r="52">
      <c r="H52" s="1" t="n"/>
    </row>
    <row r="53">
      <c r="H53" s="1" t="n"/>
    </row>
    <row r="54">
      <c r="H54" s="1" t="n"/>
    </row>
    <row r="55">
      <c r="H55" s="1" t="n"/>
    </row>
    <row r="56">
      <c r="H56" s="1" t="n"/>
    </row>
    <row r="57">
      <c r="H57" s="1" t="n"/>
    </row>
    <row r="58">
      <c r="H58" s="1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02">
      <c r="G102" s="2" t="n"/>
    </row>
    <row r="103">
      <c r="G103" s="2" t="n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>
      <c r="H136" s="2" t="n"/>
    </row>
    <row r="137">
      <c r="H137" s="2" t="n"/>
    </row>
  </sheetData>
  <mergeCells count="46">
    <mergeCell ref="D11:F11"/>
    <mergeCell ref="D27:F27"/>
    <mergeCell ref="A18:C18"/>
    <mergeCell ref="A27:C27"/>
    <mergeCell ref="D17:F17"/>
    <mergeCell ref="A21:C21"/>
    <mergeCell ref="D7:F7"/>
    <mergeCell ref="A12:C12"/>
    <mergeCell ref="A26:F26"/>
    <mergeCell ref="A3:F3"/>
    <mergeCell ref="D16:F16"/>
    <mergeCell ref="A2:F2"/>
    <mergeCell ref="A5:C5"/>
    <mergeCell ref="A23:C23"/>
    <mergeCell ref="A14:C14"/>
    <mergeCell ref="D4:F4"/>
    <mergeCell ref="A8:C8"/>
    <mergeCell ref="D12:F12"/>
    <mergeCell ref="A17:C17"/>
    <mergeCell ref="D18:F18"/>
    <mergeCell ref="A22:F22"/>
    <mergeCell ref="D9:F9"/>
    <mergeCell ref="A20:F20"/>
    <mergeCell ref="D8:F8"/>
    <mergeCell ref="A4:C4"/>
    <mergeCell ref="D25:F25"/>
    <mergeCell ref="D15:F15"/>
    <mergeCell ref="A10:C10"/>
    <mergeCell ref="D14:F14"/>
    <mergeCell ref="A19:C19"/>
    <mergeCell ref="A28:F28"/>
    <mergeCell ref="D5:F5"/>
    <mergeCell ref="A13:F13"/>
    <mergeCell ref="D23:F23"/>
    <mergeCell ref="A9:C9"/>
    <mergeCell ref="A15:C15"/>
    <mergeCell ref="D10:F10"/>
    <mergeCell ref="D19:F19"/>
    <mergeCell ref="A11:C11"/>
    <mergeCell ref="A1:F1"/>
    <mergeCell ref="A6:C6"/>
    <mergeCell ref="A34:D37"/>
    <mergeCell ref="D21:F21"/>
    <mergeCell ref="A7:C7"/>
    <mergeCell ref="D6:F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2026-05-21T21:48:32Z</dcterms:created>
  <dcterms:modified xmlns:dcterms="http://purl.org/dc/terms/" xmlns:xsi="http://www.w3.org/2001/XMLSchema-instance" xsi:type="dcterms:W3CDTF">2026-06-03T02:38:41Z</dcterms:modified>
  <cp:lastModifiedBy>Felipe Barcelos</cp:lastModifiedBy>
</cp:coreProperties>
</file>