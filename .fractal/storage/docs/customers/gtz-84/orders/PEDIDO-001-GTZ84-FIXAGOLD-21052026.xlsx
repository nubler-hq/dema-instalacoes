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7"/>
  <workbookPr/>
  <mc:AlternateContent xmlns:mc="http://schemas.openxmlformats.org/markup-compatibility/2006">
    <mc:Choice Requires="x15">
      <x15ac:absPath xmlns:x15ac="http://schemas.microsoft.com/office/spreadsheetml/2010/11/ac" url="/Users/felipebarcelospro/Sandbox/nubler/dema-instalacoes/.fractal/artifacts/docs/projects/gtz/requests/"/>
    </mc:Choice>
  </mc:AlternateContent>
  <xr:revisionPtr revIDLastSave="0" documentId="8_{95162383-0E03-F046-8D2E-00B64337B268}" xr6:coauthVersionLast="47" xr6:coauthVersionMax="47" xr10:uidLastSave="{00000000-0000-0000-0000-000000000000}"/>
  <bookViews>
    <workbookView xWindow="0" yWindow="600" windowWidth="76800" windowHeight="41020" xr2:uid="{00000000-000D-0000-FFFF-FFFF00000000}"/>
  </bookViews>
  <sheets>
    <sheet name="PEDIDO 2" sheetId="1" r:id="rId1"/>
  </sheets>
  <calcPr calcId="191029" calcOnSave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109" i="1" l="1"/>
  <c r="F108" i="1"/>
  <c r="F107" i="1"/>
  <c r="F106" i="1"/>
  <c r="F105" i="1"/>
  <c r="F104" i="1"/>
  <c r="F103" i="1"/>
  <c r="F102" i="1"/>
  <c r="F101" i="1"/>
  <c r="F100" i="1"/>
  <c r="F99" i="1"/>
  <c r="F98" i="1"/>
  <c r="F97" i="1"/>
  <c r="F96" i="1"/>
  <c r="F51" i="1"/>
  <c r="F50" i="1"/>
  <c r="F49" i="1"/>
  <c r="F48" i="1"/>
  <c r="F47" i="1"/>
  <c r="F46" i="1"/>
  <c r="F45" i="1"/>
  <c r="F44" i="1"/>
  <c r="F43" i="1"/>
  <c r="F42" i="1"/>
  <c r="F41" i="1"/>
  <c r="F40" i="1"/>
  <c r="F39" i="1"/>
  <c r="F38" i="1"/>
  <c r="F37" i="1"/>
  <c r="F36" i="1"/>
  <c r="F35" i="1"/>
  <c r="F34" i="1"/>
  <c r="F33" i="1"/>
  <c r="F32" i="1"/>
  <c r="F31" i="1"/>
  <c r="F30" i="1"/>
  <c r="F110" i="1" s="1"/>
  <c r="F113" i="1" s="1"/>
</calcChain>
</file>

<file path=xl/sharedStrings.xml><?xml version="1.0" encoding="utf-8"?>
<sst xmlns="http://schemas.openxmlformats.org/spreadsheetml/2006/main" count="98" uniqueCount="72">
  <si>
    <t>DEMA INST. ELÉTRICAS, HIDRÁULICAS E MANUTENÇÕES LTDA.</t>
  </si>
  <si>
    <t>AV. BRIGADEIRO LUÍS ANTÔNIO, 3097 - Sala 907 - JD. PAULISTA, SÃO PAULO - SP</t>
  </si>
  <si>
    <t>NÃO SERÁ ACEITO EM HIPOTESE NENHUMA NEGOCIAÇÃO DE TÍTULOS CONTRA TERCEIROS</t>
  </si>
  <si>
    <t>ITEM</t>
  </si>
  <si>
    <t>QTDE</t>
  </si>
  <si>
    <t>UNID.</t>
  </si>
  <si>
    <t>DESCRIÇÃO</t>
  </si>
  <si>
    <t xml:space="preserve">UNIT </t>
  </si>
  <si>
    <t>TOTAL</t>
  </si>
  <si>
    <t>PEDIDO DE COMPRA N° ____ - MATERIAIS DE FIXAÇÃO - GTZ 84</t>
  </si>
  <si>
    <t>PEDIDO INTERNO:</t>
  </si>
  <si>
    <t>ORÇAMENTO 3028376 - FIXAGOLD</t>
  </si>
  <si>
    <t>Data:</t>
  </si>
  <si>
    <t>21/05/2026</t>
  </si>
  <si>
    <t>Fornecedor:</t>
  </si>
  <si>
    <t>FIXAGOLD COMERCIO DE PARAFUSOS E ACESSORIOS LTDA</t>
  </si>
  <si>
    <t>CNPJ:</t>
  </si>
  <si>
    <t>11.551.676/0001-90</t>
  </si>
  <si>
    <t>Inscrição Estadual:</t>
  </si>
  <si>
    <t>End.:</t>
  </si>
  <si>
    <t>R. Susana, 522 - Jardim Independência, São Paulo/SP</t>
  </si>
  <si>
    <t>CEP:</t>
  </si>
  <si>
    <t>03223-000</t>
  </si>
  <si>
    <t>Tel/Contato/e mail:</t>
  </si>
  <si>
    <t>(11) 2387-7880 - vendas@fixagold.com.br</t>
  </si>
  <si>
    <t>Condições de Pgto.:</t>
  </si>
  <si>
    <t>28 DDL</t>
  </si>
  <si>
    <t>Faturamento:</t>
  </si>
  <si>
    <t>GTZ 84 INVESTIMENTOS IMOBILIARIOS SPE LTDA</t>
  </si>
  <si>
    <t>48.950.512/0001-45</t>
  </si>
  <si>
    <t>A confirmar</t>
  </si>
  <si>
    <t>Avenida Ibirapuera, 1753 - Conj. 21 - Indianópolis - São Paulo/SP</t>
  </si>
  <si>
    <t>04029-100</t>
  </si>
  <si>
    <t>Telefone:</t>
  </si>
  <si>
    <t>Cobrança:</t>
  </si>
  <si>
    <t>341 - BOLETO ITAÚ</t>
  </si>
  <si>
    <t>Prazo de entrega:</t>
  </si>
  <si>
    <t>Dt. Prev. Fat.: 21/05/2026</t>
  </si>
  <si>
    <t>Faturamento</t>
  </si>
  <si>
    <t>Não emitir nota fiscal após o dia 25</t>
  </si>
  <si>
    <t>Local de entrega:</t>
  </si>
  <si>
    <t>A confirmar com superior / endereço de entrega não detalhado no orçamento</t>
  </si>
  <si>
    <t>Horário para Entrega:</t>
  </si>
  <si>
    <t>8:00 HS AS 11:00 HS E DAS 13:00 HS AS 16:00 HS</t>
  </si>
  <si>
    <t>PC</t>
  </si>
  <si>
    <t>AGE1GE - ABRAÇ GOTA ECONOMICA 1</t>
  </si>
  <si>
    <t>AGE1.1/2GE - ABRAÇ GOTA ECONOMICA 1.1/2</t>
  </si>
  <si>
    <t>AGE1.1/4GE - ABRAÇ GOTA ECONOMICA 1.1/4</t>
  </si>
  <si>
    <t>AGE2GE - ABRAÇ GOTA ECONOMICA 2</t>
  </si>
  <si>
    <t>AGE2.1/2GE - ABRAÇ GOTA ECONOMICA 2.1/2</t>
  </si>
  <si>
    <t>AGE3GE - ABRAÇ GOTA ECONOMICA 3</t>
  </si>
  <si>
    <t>AGE4GE - ABRAÇ GOTA ECONOMICA 4</t>
  </si>
  <si>
    <t>AGE6GE - ABRAÇ GOTA ECONOMICA 6</t>
  </si>
  <si>
    <t>AGE8GE - ABRAÇ GOTA ECONOMICA 8</t>
  </si>
  <si>
    <t>AL1/4 - ARRUELA LISA 1/4</t>
  </si>
  <si>
    <t>AL3/8 - ARRUELA LISA 3/8</t>
  </si>
  <si>
    <t>BSDSPHTOM8X110 - BROCA SDS PLUS HTOM 08 X 110</t>
  </si>
  <si>
    <t>BSDSPHTOM10X110 - BROCA SDS PLUS HTOM 10 X 110</t>
  </si>
  <si>
    <t>BSDSPM15X160 - BROCA SDS PLUS MAKITA 15 X 160</t>
  </si>
  <si>
    <t>JC1/4 - JAQUETA E CONE 1/4</t>
  </si>
  <si>
    <t>JC3/8 - JAQUETA E CONE 3/8</t>
  </si>
  <si>
    <t>PP19X38X6C18 - PERF PERFURADO 19 X 38 X 6 MTS CHAPA 18</t>
  </si>
  <si>
    <t>PP38X38X6C18 - PERF PERFURADO 38 X 38 X 6 MTS CHAPA 18</t>
  </si>
  <si>
    <t>PS1/4 - PORCA SEXTAVADA 1/4</t>
  </si>
  <si>
    <t>PS3/8 - PORCA SEXTAVADA 3/8</t>
  </si>
  <si>
    <t>VRT1/4X3GAL - VERGALHÃO RT 1/4 X 3 MTS GALVANIZADO</t>
  </si>
  <si>
    <t>VRT3/8X3GAL - VERGALHÃO RT 3/8 X 3 MTS GALVANIZADO</t>
  </si>
  <si>
    <t>OBS: Pedido mínimo R$ 300,00 retira | R$ 400,00 entrega em São Paulo (região metropolitana). Frete de despacho: N. Orçamento 3028376. Cliente/obra: GTZ 84; IE/endereço de entrega a confirmar.</t>
  </si>
  <si>
    <t>SUB TOTAL</t>
  </si>
  <si>
    <t>FRETE</t>
  </si>
  <si>
    <t>DESCONTO</t>
  </si>
  <si>
    <t>TOTAL GERAL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</si>
</sst>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4" formatCode="_-&quot;R$&quot;\ * #,##0.00_-;\-&quot;R$&quot;\ * #,##0.00_-;_-&quot;R$&quot;\ * &quot;-&quot;??_-;_-@_-"/>
    <numFmt numFmtId="43" formatCode="_-* #,##0.00_-;\-* #,##0.00_-;_-* &quot;-&quot;??_-;_-@_-"/>
    <numFmt numFmtId="167" formatCode="\R\$\ #,##0.00"/>
    <numFmt numFmtId="168" formatCode="\R\$\ #,##0.000000"/>
  </numFmts>
  <fonts count="16" x14ac:knownFonts="1">
    <font>
      <sz val="10"/>
      <name val="Arial"/>
    </font>
    <font>
      <sz val="10"/>
      <name val="Arial"/>
      <family val="2"/>
    </font>
    <font>
      <b/>
      <sz val="14"/>
      <name val="Arial"/>
      <family val="2"/>
    </font>
    <font>
      <sz val="12"/>
      <name val="Arial"/>
      <family val="2"/>
    </font>
    <font>
      <b/>
      <sz val="10"/>
      <name val="Arial"/>
      <family val="2"/>
    </font>
    <font>
      <b/>
      <sz val="10"/>
      <color indexed="8"/>
      <name val="Verdana"/>
      <family val="2"/>
    </font>
    <font>
      <b/>
      <sz val="10"/>
      <name val="Verdana"/>
      <family val="2"/>
    </font>
    <font>
      <b/>
      <i/>
      <sz val="9"/>
      <name val="Verdana"/>
      <family val="2"/>
    </font>
    <font>
      <sz val="8"/>
      <name val="Arial"/>
      <family val="2"/>
    </font>
    <font>
      <sz val="11"/>
      <color theme="1"/>
      <name val="Calibri"/>
      <family val="2"/>
    </font>
    <font>
      <b/>
      <sz val="10"/>
      <color rgb="FF333333"/>
      <name val="Times New Roman"/>
      <family val="1"/>
    </font>
    <font>
      <sz val="10"/>
      <color rgb="FF333333"/>
      <name val="Times New Roman"/>
      <family val="1"/>
    </font>
    <font>
      <sz val="10"/>
      <name val="Arial"/>
      <family val="2"/>
    </font>
    <font>
      <sz val="8"/>
      <color theme="1"/>
      <name val="Arial"/>
      <family val="2"/>
    </font>
    <font>
      <sz val="10"/>
      <color rgb="FFFF0000"/>
      <name val="Arial"/>
      <family val="2"/>
    </font>
    <font>
      <b/>
      <sz val="9"/>
      <color indexed="8"/>
      <name val="Verdana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</patternFill>
    </fill>
  </fills>
  <borders count="46">
    <border>
      <left/>
      <right/>
      <top/>
      <bottom/>
      <diagonal/>
    </border>
    <border>
      <left style="medium">
        <color indexed="64"/>
      </left>
      <right/>
      <top/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</borders>
  <cellStyleXfs count="19">
    <xf numFmtId="0" fontId="0" fillId="0" borderId="0"/>
    <xf numFmtId="44" fontId="12" fillId="0" borderId="0"/>
    <xf numFmtId="0" fontId="12" fillId="0" borderId="0"/>
    <xf numFmtId="0" fontId="9" fillId="0" borderId="0"/>
    <xf numFmtId="0" fontId="12" fillId="0" borderId="0"/>
    <xf numFmtId="0" fontId="9" fillId="0" borderId="0"/>
    <xf numFmtId="43" fontId="9" fillId="0" borderId="0"/>
    <xf numFmtId="44" fontId="12" fillId="0" borderId="0"/>
    <xf numFmtId="0" fontId="12" fillId="0" borderId="0"/>
    <xf numFmtId="0" fontId="9" fillId="0" borderId="0"/>
    <xf numFmtId="0" fontId="12" fillId="0" borderId="0"/>
    <xf numFmtId="0" fontId="9" fillId="0" borderId="0"/>
    <xf numFmtId="43" fontId="9" fillId="0" borderId="0"/>
    <xf numFmtId="44" fontId="12" fillId="0" borderId="0"/>
    <xf numFmtId="0" fontId="9" fillId="0" borderId="0"/>
    <xf numFmtId="44" fontId="12" fillId="0" borderId="0"/>
    <xf numFmtId="0" fontId="9" fillId="0" borderId="0"/>
    <xf numFmtId="0" fontId="9" fillId="0" borderId="0"/>
    <xf numFmtId="43" fontId="9" fillId="0" borderId="0"/>
  </cellStyleXfs>
  <cellXfs count="117">
    <xf numFmtId="0" fontId="0" fillId="0" borderId="0" xfId="0"/>
    <xf numFmtId="0" fontId="10" fillId="0" borderId="0" xfId="0" applyFont="1" applyAlignment="1">
      <alignment vertical="center" wrapText="1"/>
    </xf>
    <xf numFmtId="0" fontId="11" fillId="0" borderId="0" xfId="0" applyFont="1" applyAlignment="1">
      <alignment vertical="center" wrapText="1"/>
    </xf>
    <xf numFmtId="0" fontId="6" fillId="0" borderId="5" xfId="0" applyFont="1" applyBorder="1"/>
    <xf numFmtId="0" fontId="6" fillId="0" borderId="6" xfId="0" applyFont="1" applyBorder="1"/>
    <xf numFmtId="44" fontId="1" fillId="0" borderId="0" xfId="1" applyFont="1"/>
    <xf numFmtId="0" fontId="6" fillId="0" borderId="8" xfId="0" applyFont="1" applyBorder="1"/>
    <xf numFmtId="0" fontId="4" fillId="0" borderId="13" xfId="0" applyFont="1" applyBorder="1" applyAlignment="1">
      <alignment horizontal="center"/>
    </xf>
    <xf numFmtId="44" fontId="1" fillId="0" borderId="6" xfId="1" applyFont="1" applyBorder="1" applyAlignment="1">
      <alignment horizontal="left"/>
    </xf>
    <xf numFmtId="14" fontId="6" fillId="0" borderId="8" xfId="0" applyNumberFormat="1" applyFont="1" applyBorder="1" applyAlignment="1">
      <alignment horizontal="left"/>
    </xf>
    <xf numFmtId="0" fontId="13" fillId="2" borderId="12" xfId="0" applyFont="1" applyFill="1" applyBorder="1" applyAlignment="1">
      <alignment horizontal="center"/>
    </xf>
    <xf numFmtId="0" fontId="4" fillId="0" borderId="17" xfId="0" applyFont="1" applyBorder="1" applyAlignment="1">
      <alignment horizontal="center"/>
    </xf>
    <xf numFmtId="0" fontId="4" fillId="0" borderId="6" xfId="0" applyFont="1" applyBorder="1" applyAlignment="1">
      <alignment horizontal="center"/>
    </xf>
    <xf numFmtId="0" fontId="4" fillId="0" borderId="19" xfId="0" applyFont="1" applyBorder="1" applyAlignment="1">
      <alignment horizontal="center"/>
    </xf>
    <xf numFmtId="44" fontId="4" fillId="0" borderId="20" xfId="1" applyFont="1" applyBorder="1" applyAlignment="1">
      <alignment horizontal="center"/>
    </xf>
    <xf numFmtId="0" fontId="8" fillId="0" borderId="18" xfId="0" applyFont="1" applyBorder="1" applyAlignment="1">
      <alignment horizontal="center"/>
    </xf>
    <xf numFmtId="0" fontId="8" fillId="0" borderId="12" xfId="0" applyFont="1" applyBorder="1" applyAlignment="1">
      <alignment horizontal="center"/>
    </xf>
    <xf numFmtId="0" fontId="0" fillId="0" borderId="21" xfId="0" applyBorder="1"/>
    <xf numFmtId="44" fontId="0" fillId="0" borderId="25" xfId="0" applyNumberFormat="1" applyBorder="1"/>
    <xf numFmtId="1" fontId="8" fillId="0" borderId="12" xfId="0" applyNumberFormat="1" applyFont="1" applyBorder="1" applyAlignment="1">
      <alignment horizontal="center"/>
    </xf>
    <xf numFmtId="1" fontId="13" fillId="2" borderId="12" xfId="0" applyNumberFormat="1" applyFont="1" applyFill="1" applyBorder="1" applyAlignment="1">
      <alignment horizontal="center"/>
    </xf>
    <xf numFmtId="168" fontId="13" fillId="2" borderId="12" xfId="0" applyNumberFormat="1" applyFont="1" applyFill="1" applyBorder="1" applyAlignment="1">
      <alignment horizontal="right"/>
    </xf>
    <xf numFmtId="44" fontId="8" fillId="0" borderId="12" xfId="0" applyNumberFormat="1" applyFont="1" applyBorder="1" applyAlignment="1">
      <alignment horizontal="right"/>
    </xf>
    <xf numFmtId="0" fontId="8" fillId="0" borderId="18" xfId="0" applyFont="1" applyBorder="1" applyAlignment="1">
      <alignment wrapText="1"/>
    </xf>
    <xf numFmtId="0" fontId="8" fillId="0" borderId="12" xfId="0" applyFont="1" applyBorder="1" applyAlignment="1">
      <alignment wrapText="1"/>
    </xf>
    <xf numFmtId="0" fontId="13" fillId="2" borderId="14" xfId="0" applyFont="1" applyFill="1" applyBorder="1" applyAlignment="1">
      <alignment horizontal="left" wrapText="1"/>
    </xf>
    <xf numFmtId="0" fontId="13" fillId="2" borderId="14" xfId="0" applyFont="1" applyFill="1" applyBorder="1" applyAlignment="1">
      <alignment wrapText="1"/>
    </xf>
    <xf numFmtId="14" fontId="6" fillId="0" borderId="6" xfId="0" applyNumberFormat="1" applyFont="1" applyBorder="1" applyAlignment="1">
      <alignment horizontal="left" vertical="center"/>
    </xf>
    <xf numFmtId="3" fontId="8" fillId="0" borderId="18" xfId="0" applyNumberFormat="1" applyFont="1" applyBorder="1" applyAlignment="1">
      <alignment horizontal="center"/>
    </xf>
    <xf numFmtId="3" fontId="8" fillId="0" borderId="12" xfId="0" applyNumberFormat="1" applyFont="1" applyBorder="1" applyAlignment="1">
      <alignment horizontal="center"/>
    </xf>
    <xf numFmtId="168" fontId="13" fillId="2" borderId="12" xfId="0" applyNumberFormat="1" applyFont="1" applyFill="1" applyBorder="1" applyAlignment="1">
      <alignment horizontal="left"/>
    </xf>
    <xf numFmtId="0" fontId="2" fillId="0" borderId="13" xfId="0" applyFont="1" applyBorder="1" applyAlignment="1">
      <alignment horizontal="center"/>
    </xf>
    <xf numFmtId="0" fontId="0" fillId="0" borderId="2" xfId="0" applyBorder="1"/>
    <xf numFmtId="0" fontId="0" fillId="0" borderId="9" xfId="0" applyBorder="1"/>
    <xf numFmtId="0" fontId="5" fillId="0" borderId="7" xfId="0" applyFont="1" applyBorder="1" applyAlignment="1">
      <alignment horizontal="left"/>
    </xf>
    <xf numFmtId="0" fontId="6" fillId="0" borderId="11" xfId="0" applyFont="1" applyBorder="1" applyAlignment="1">
      <alignment horizontal="left" vertical="center"/>
    </xf>
    <xf numFmtId="44" fontId="1" fillId="0" borderId="0" xfId="1" applyFont="1"/>
    <xf numFmtId="0" fontId="0" fillId="0" borderId="11" xfId="0" applyBorder="1"/>
    <xf numFmtId="0" fontId="5" fillId="0" borderId="1" xfId="0" applyFont="1" applyBorder="1" applyAlignment="1">
      <alignment horizontal="left"/>
    </xf>
    <xf numFmtId="0" fontId="0" fillId="0" borderId="0" xfId="0"/>
    <xf numFmtId="0" fontId="6" fillId="0" borderId="15" xfId="0" applyFont="1" applyBorder="1" applyAlignment="1">
      <alignment horizontal="left"/>
    </xf>
    <xf numFmtId="0" fontId="6" fillId="0" borderId="9" xfId="0" applyFont="1" applyBorder="1" applyAlignment="1">
      <alignment horizontal="left" vertical="center"/>
    </xf>
    <xf numFmtId="0" fontId="6" fillId="0" borderId="16" xfId="0" applyFont="1" applyBorder="1" applyAlignment="1">
      <alignment horizontal="left"/>
    </xf>
    <xf numFmtId="0" fontId="0" fillId="0" borderId="4" xfId="0" applyBorder="1"/>
    <xf numFmtId="0" fontId="0" fillId="0" borderId="10" xfId="0" applyBorder="1"/>
    <xf numFmtId="0" fontId="7" fillId="0" borderId="16" xfId="0" applyFont="1" applyBorder="1" applyAlignment="1">
      <alignment horizontal="center"/>
    </xf>
    <xf numFmtId="14" fontId="6" fillId="0" borderId="17" xfId="0" applyNumberFormat="1" applyFont="1" applyBorder="1" applyAlignment="1">
      <alignment horizontal="left" vertical="center"/>
    </xf>
    <xf numFmtId="0" fontId="0" fillId="0" borderId="6" xfId="0" applyBorder="1"/>
    <xf numFmtId="0" fontId="0" fillId="0" borderId="8" xfId="0" applyBorder="1"/>
    <xf numFmtId="0" fontId="5" fillId="0" borderId="3" xfId="0" applyFont="1" applyBorder="1" applyAlignment="1">
      <alignment horizontal="left"/>
    </xf>
    <xf numFmtId="0" fontId="3" fillId="0" borderId="17" xfId="0" applyFont="1" applyBorder="1" applyAlignment="1">
      <alignment horizontal="center"/>
    </xf>
    <xf numFmtId="3" fontId="6" fillId="0" borderId="11" xfId="0" applyNumberFormat="1" applyFont="1" applyBorder="1" applyAlignment="1">
      <alignment horizontal="left" vertical="center"/>
    </xf>
    <xf numFmtId="0" fontId="3" fillId="0" borderId="16" xfId="0" applyFont="1" applyBorder="1" applyAlignment="1">
      <alignment horizontal="center"/>
    </xf>
    <xf numFmtId="0" fontId="5" fillId="0" borderId="17" xfId="0" applyFont="1" applyBorder="1" applyAlignment="1">
      <alignment horizontal="left"/>
    </xf>
    <xf numFmtId="0" fontId="6" fillId="0" borderId="5" xfId="0" applyFont="1" applyBorder="1" applyAlignment="1">
      <alignment horizontal="left"/>
    </xf>
    <xf numFmtId="0" fontId="6" fillId="0" borderId="13" xfId="0" applyFont="1" applyBorder="1" applyAlignment="1">
      <alignment horizontal="left"/>
    </xf>
    <xf numFmtId="0" fontId="4" fillId="0" borderId="17" xfId="0" applyFont="1" applyBorder="1" applyAlignment="1">
      <alignment horizontal="left" vertical="center"/>
    </xf>
    <xf numFmtId="0" fontId="5" fillId="0" borderId="11" xfId="0" applyFont="1" applyBorder="1" applyAlignment="1">
      <alignment horizontal="left" vertical="center"/>
    </xf>
    <xf numFmtId="0" fontId="4" fillId="0" borderId="17" xfId="0" applyFont="1" applyBorder="1" applyAlignment="1">
      <alignment horizontal="left"/>
    </xf>
    <xf numFmtId="0" fontId="6" fillId="0" borderId="17" xfId="0" applyFont="1" applyBorder="1" applyAlignment="1">
      <alignment horizontal="left" vertical="center"/>
    </xf>
    <xf numFmtId="0" fontId="6" fillId="0" borderId="17" xfId="0" applyFont="1" applyBorder="1" applyAlignment="1">
      <alignment horizontal="left"/>
    </xf>
    <xf numFmtId="0" fontId="6" fillId="0" borderId="33" xfId="0" applyFont="1" applyBorder="1" applyAlignment="1">
      <alignment horizontal="left" vertical="center"/>
    </xf>
    <xf numFmtId="44" fontId="1" fillId="0" borderId="21" xfId="1" applyFont="1" applyBorder="1"/>
    <xf numFmtId="0" fontId="0" fillId="0" borderId="27" xfId="0" applyBorder="1"/>
    <xf numFmtId="0" fontId="5" fillId="0" borderId="24" xfId="0" applyFont="1" applyBorder="1" applyAlignment="1">
      <alignment horizontal="left" vertical="center"/>
    </xf>
    <xf numFmtId="0" fontId="5" fillId="0" borderId="25" xfId="0" applyFont="1" applyBorder="1" applyAlignment="1">
      <alignment horizontal="left" vertical="center"/>
    </xf>
    <xf numFmtId="0" fontId="5" fillId="0" borderId="31" xfId="0" applyFont="1" applyBorder="1" applyAlignment="1">
      <alignment horizontal="left" vertical="center"/>
    </xf>
    <xf numFmtId="0" fontId="15" fillId="0" borderId="28" xfId="0" applyFont="1" applyBorder="1" applyAlignment="1">
      <alignment horizontal="left" vertical="center"/>
    </xf>
    <xf numFmtId="0" fontId="15" fillId="0" borderId="21" xfId="0" applyFont="1" applyBorder="1" applyAlignment="1">
      <alignment horizontal="left" vertical="center"/>
    </xf>
    <xf numFmtId="0" fontId="15" fillId="0" borderId="27" xfId="0" applyFont="1" applyBorder="1" applyAlignment="1">
      <alignment horizontal="left" vertical="center"/>
    </xf>
    <xf numFmtId="3" fontId="5" fillId="0" borderId="28" xfId="0" applyNumberFormat="1" applyFont="1" applyBorder="1" applyAlignment="1">
      <alignment horizontal="left" vertical="center"/>
    </xf>
    <xf numFmtId="3" fontId="5" fillId="0" borderId="21" xfId="0" applyNumberFormat="1" applyFont="1" applyBorder="1" applyAlignment="1">
      <alignment horizontal="left" vertical="center"/>
    </xf>
    <xf numFmtId="3" fontId="5" fillId="0" borderId="27" xfId="0" applyNumberFormat="1" applyFont="1" applyBorder="1" applyAlignment="1">
      <alignment horizontal="left" vertical="center"/>
    </xf>
    <xf numFmtId="0" fontId="5" fillId="0" borderId="28" xfId="0" applyFont="1" applyBorder="1" applyAlignment="1">
      <alignment horizontal="left" vertical="center"/>
    </xf>
    <xf numFmtId="0" fontId="5" fillId="0" borderId="21" xfId="0" applyFont="1" applyBorder="1" applyAlignment="1">
      <alignment horizontal="left" vertical="center"/>
    </xf>
    <xf numFmtId="0" fontId="5" fillId="0" borderId="27" xfId="0" applyFont="1" applyBorder="1" applyAlignment="1">
      <alignment horizontal="left" vertical="center"/>
    </xf>
    <xf numFmtId="0" fontId="5" fillId="0" borderId="29" xfId="0" applyFont="1" applyBorder="1" applyAlignment="1">
      <alignment horizontal="left" vertical="center"/>
    </xf>
    <xf numFmtId="0" fontId="5" fillId="0" borderId="30" xfId="0" applyFont="1" applyBorder="1" applyAlignment="1">
      <alignment horizontal="left" vertical="center"/>
    </xf>
    <xf numFmtId="0" fontId="5" fillId="0" borderId="32" xfId="0" applyFont="1" applyBorder="1" applyAlignment="1">
      <alignment horizontal="left" vertical="center"/>
    </xf>
    <xf numFmtId="0" fontId="6" fillId="0" borderId="29" xfId="0" applyFont="1" applyBorder="1" applyAlignment="1">
      <alignment horizontal="left" vertical="center"/>
    </xf>
    <xf numFmtId="0" fontId="6" fillId="0" borderId="30" xfId="0" applyFont="1" applyBorder="1" applyAlignment="1">
      <alignment horizontal="left" vertical="center"/>
    </xf>
    <xf numFmtId="0" fontId="6" fillId="0" borderId="32" xfId="0" applyFont="1" applyBorder="1" applyAlignment="1">
      <alignment horizontal="left" vertical="center"/>
    </xf>
    <xf numFmtId="0" fontId="5" fillId="0" borderId="22" xfId="0" applyFont="1" applyBorder="1" applyAlignment="1">
      <alignment horizontal="center"/>
    </xf>
    <xf numFmtId="0" fontId="5" fillId="0" borderId="23" xfId="0" applyFont="1" applyBorder="1" applyAlignment="1">
      <alignment horizontal="center"/>
    </xf>
    <xf numFmtId="0" fontId="5" fillId="0" borderId="26" xfId="0" applyFont="1" applyBorder="1" applyAlignment="1">
      <alignment horizontal="center"/>
    </xf>
    <xf numFmtId="14" fontId="5" fillId="0" borderId="22" xfId="0" applyNumberFormat="1" applyFont="1" applyBorder="1" applyAlignment="1">
      <alignment horizontal="left" vertical="center"/>
    </xf>
    <xf numFmtId="14" fontId="5" fillId="0" borderId="23" xfId="0" applyNumberFormat="1" applyFont="1" applyBorder="1" applyAlignment="1">
      <alignment horizontal="left" vertical="center"/>
    </xf>
    <xf numFmtId="14" fontId="5" fillId="0" borderId="26" xfId="0" applyNumberFormat="1" applyFont="1" applyBorder="1" applyAlignment="1">
      <alignment horizontal="left" vertical="center"/>
    </xf>
    <xf numFmtId="0" fontId="6" fillId="0" borderId="22" xfId="0" applyFont="1" applyBorder="1" applyAlignment="1">
      <alignment horizontal="center"/>
    </xf>
    <xf numFmtId="0" fontId="6" fillId="0" borderId="23" xfId="0" applyFont="1" applyBorder="1" applyAlignment="1">
      <alignment horizontal="center"/>
    </xf>
    <xf numFmtId="0" fontId="6" fillId="0" borderId="26" xfId="0" applyFont="1" applyBorder="1" applyAlignment="1">
      <alignment horizontal="center"/>
    </xf>
    <xf numFmtId="0" fontId="6" fillId="0" borderId="22" xfId="0" applyFont="1" applyBorder="1" applyAlignment="1">
      <alignment horizontal="left"/>
    </xf>
    <xf numFmtId="0" fontId="6" fillId="0" borderId="23" xfId="0" applyFont="1" applyBorder="1" applyAlignment="1">
      <alignment horizontal="left"/>
    </xf>
    <xf numFmtId="0" fontId="6" fillId="0" borderId="26" xfId="0" applyFont="1" applyBorder="1" applyAlignment="1">
      <alignment horizontal="left"/>
    </xf>
    <xf numFmtId="167" fontId="8" fillId="2" borderId="36" xfId="0" applyNumberFormat="1" applyFont="1" applyFill="1" applyBorder="1" applyAlignment="1">
      <alignment horizontal="left"/>
    </xf>
    <xf numFmtId="167" fontId="8" fillId="2" borderId="37" xfId="0" applyNumberFormat="1" applyFont="1" applyFill="1" applyBorder="1" applyAlignment="1">
      <alignment horizontal="left"/>
    </xf>
    <xf numFmtId="167" fontId="8" fillId="2" borderId="38" xfId="0" applyNumberFormat="1" applyFont="1" applyFill="1" applyBorder="1" applyAlignment="1">
      <alignment horizontal="left"/>
    </xf>
    <xf numFmtId="167" fontId="8" fillId="2" borderId="37" xfId="0" applyNumberFormat="1" applyFont="1" applyFill="1" applyBorder="1" applyAlignment="1">
      <alignment horizontal="right"/>
    </xf>
    <xf numFmtId="167" fontId="8" fillId="0" borderId="38" xfId="0" applyNumberFormat="1" applyFont="1" applyBorder="1" applyAlignment="1">
      <alignment horizontal="right"/>
    </xf>
    <xf numFmtId="167" fontId="8" fillId="0" borderId="39" xfId="0" applyNumberFormat="1" applyFont="1" applyBorder="1" applyAlignment="1">
      <alignment horizontal="right"/>
    </xf>
    <xf numFmtId="44" fontId="1" fillId="0" borderId="25" xfId="1" applyFont="1" applyBorder="1"/>
    <xf numFmtId="44" fontId="8" fillId="0" borderId="40" xfId="0" applyNumberFormat="1" applyFont="1" applyBorder="1" applyAlignment="1">
      <alignment horizontal="right"/>
    </xf>
    <xf numFmtId="0" fontId="14" fillId="0" borderId="21" xfId="0" applyFont="1" applyBorder="1"/>
    <xf numFmtId="0" fontId="14" fillId="0" borderId="41" xfId="0" applyFont="1" applyBorder="1"/>
    <xf numFmtId="0" fontId="14" fillId="0" borderId="30" xfId="0" applyFont="1" applyBorder="1"/>
    <xf numFmtId="0" fontId="14" fillId="0" borderId="42" xfId="0" applyFont="1" applyBorder="1"/>
    <xf numFmtId="0" fontId="14" fillId="0" borderId="35" xfId="0" applyFont="1" applyBorder="1" applyAlignment="1">
      <alignment horizontal="center" vertical="center" wrapText="1"/>
    </xf>
    <xf numFmtId="0" fontId="8" fillId="0" borderId="40" xfId="0" applyFont="1" applyBorder="1" applyAlignment="1">
      <alignment horizontal="center"/>
    </xf>
    <xf numFmtId="1" fontId="13" fillId="2" borderId="40" xfId="0" applyNumberFormat="1" applyFont="1" applyFill="1" applyBorder="1" applyAlignment="1">
      <alignment horizontal="center"/>
    </xf>
    <xf numFmtId="44" fontId="8" fillId="0" borderId="34" xfId="0" applyNumberFormat="1" applyFont="1" applyBorder="1" applyAlignment="1">
      <alignment horizontal="right"/>
    </xf>
    <xf numFmtId="0" fontId="13" fillId="2" borderId="40" xfId="0" applyFont="1" applyFill="1" applyBorder="1" applyAlignment="1">
      <alignment horizontal="center"/>
    </xf>
    <xf numFmtId="0" fontId="13" fillId="2" borderId="44" xfId="0" applyFont="1" applyFill="1" applyBorder="1" applyAlignment="1">
      <alignment wrapText="1"/>
    </xf>
    <xf numFmtId="168" fontId="13" fillId="2" borderId="40" xfId="0" applyNumberFormat="1" applyFont="1" applyFill="1" applyBorder="1" applyAlignment="1">
      <alignment horizontal="right"/>
    </xf>
    <xf numFmtId="167" fontId="8" fillId="2" borderId="43" xfId="0" applyNumberFormat="1" applyFont="1" applyFill="1" applyBorder="1" applyAlignment="1">
      <alignment horizontal="right"/>
    </xf>
    <xf numFmtId="167" fontId="8" fillId="2" borderId="36" xfId="0" applyNumberFormat="1" applyFont="1" applyFill="1" applyBorder="1" applyAlignment="1">
      <alignment horizontal="right"/>
    </xf>
    <xf numFmtId="0" fontId="8" fillId="0" borderId="45" xfId="0" applyFont="1" applyBorder="1" applyAlignment="1">
      <alignment horizontal="center"/>
    </xf>
    <xf numFmtId="168" fontId="13" fillId="2" borderId="45" xfId="0" applyNumberFormat="1" applyFont="1" applyFill="1" applyBorder="1" applyAlignment="1">
      <alignment horizontal="left"/>
    </xf>
  </cellXfs>
  <cellStyles count="19">
    <cellStyle name="Moeda" xfId="1" xr:uid="{00000000-0005-0000-0000-000000000000}"/>
    <cellStyle name="Moeda 2" xfId="13" xr:uid="{00000000-0005-0000-0000-000001000000}"/>
    <cellStyle name="Moeda 3" xfId="7" xr:uid="{00000000-0005-0000-0000-000002000000}"/>
    <cellStyle name="Moeda 4" xfId="15" xr:uid="{00000000-0005-0000-0000-000003000000}"/>
    <cellStyle name="Normal" xfId="0" builtinId="0"/>
    <cellStyle name="Normal 2" xfId="2" xr:uid="{00000000-0005-0000-0000-000005000000}"/>
    <cellStyle name="Normal 2 2" xfId="8" xr:uid="{00000000-0005-0000-0000-000006000000}"/>
    <cellStyle name="Normal 3" xfId="3" xr:uid="{00000000-0005-0000-0000-000007000000}"/>
    <cellStyle name="Normal 3 2" xfId="14" xr:uid="{00000000-0005-0000-0000-000008000000}"/>
    <cellStyle name="Normal 3 3" xfId="9" xr:uid="{00000000-0005-0000-0000-000009000000}"/>
    <cellStyle name="Normal 3 4" xfId="16" xr:uid="{00000000-0005-0000-0000-00000A000000}"/>
    <cellStyle name="Normal 4" xfId="4" xr:uid="{00000000-0005-0000-0000-00000B000000}"/>
    <cellStyle name="Normal 4 2" xfId="10" xr:uid="{00000000-0005-0000-0000-00000C000000}"/>
    <cellStyle name="Normal 5" xfId="5" xr:uid="{00000000-0005-0000-0000-00000D000000}"/>
    <cellStyle name="Normal 5 2" xfId="11" xr:uid="{00000000-0005-0000-0000-00000E000000}"/>
    <cellStyle name="Normal 5 3" xfId="17" xr:uid="{00000000-0005-0000-0000-00000F000000}"/>
    <cellStyle name="Vírgula 2" xfId="6" xr:uid="{00000000-0005-0000-0000-000010000000}"/>
    <cellStyle name="Vírgula 2 2" xfId="12" xr:uid="{00000000-0005-0000-0000-000011000000}"/>
    <cellStyle name="Vírgula 2 3" xfId="18" xr:uid="{00000000-0005-0000-0000-000012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Escritório">
  <a:themeElements>
    <a:clrScheme name="Escritório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Escritório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13"/>
  <sheetViews>
    <sheetView tabSelected="1" topLeftCell="A16" zoomScale="200" zoomScaleNormal="200" workbookViewId="0">
      <selection activeCell="D17" sqref="D17:F17"/>
    </sheetView>
  </sheetViews>
  <sheetFormatPr baseColWidth="10" defaultColWidth="8.83203125" defaultRowHeight="13" x14ac:dyDescent="0.15"/>
  <cols>
    <col min="1" max="1" width="5.83203125" customWidth="1"/>
    <col min="2" max="2" width="8.1640625" customWidth="1"/>
    <col min="3" max="3" width="9.1640625" customWidth="1"/>
    <col min="4" max="4" width="49.6640625" customWidth="1"/>
    <col min="5" max="5" width="10" style="5" customWidth="1"/>
    <col min="6" max="6" width="13.5" customWidth="1"/>
    <col min="7" max="7" width="17" customWidth="1"/>
    <col min="8" max="8" width="15.1640625" customWidth="1"/>
    <col min="9" max="9" width="16.5" customWidth="1"/>
    <col min="10" max="10" width="17.5" customWidth="1"/>
  </cols>
  <sheetData>
    <row r="1" spans="1:6" ht="23.25" customHeight="1" x14ac:dyDescent="0.2">
      <c r="A1" s="31" t="s">
        <v>0</v>
      </c>
      <c r="B1" s="32"/>
      <c r="C1" s="32"/>
      <c r="D1" s="32"/>
      <c r="E1" s="32"/>
      <c r="F1" s="33"/>
    </row>
    <row r="2" spans="1:6" ht="20.75" customHeight="1" x14ac:dyDescent="0.2">
      <c r="A2" s="52" t="s">
        <v>1</v>
      </c>
      <c r="B2" s="43"/>
      <c r="C2" s="43"/>
      <c r="D2" s="43"/>
      <c r="E2" s="43"/>
      <c r="F2" s="44"/>
    </row>
    <row r="3" spans="1:6" ht="20.75" customHeight="1" x14ac:dyDescent="0.2">
      <c r="A3" s="50" t="s">
        <v>9</v>
      </c>
      <c r="B3" s="47"/>
      <c r="C3" s="47"/>
      <c r="D3" s="47"/>
      <c r="E3" s="47"/>
      <c r="F3" s="48"/>
    </row>
    <row r="4" spans="1:6" ht="18.5" customHeight="1" thickBot="1" x14ac:dyDescent="0.2">
      <c r="A4" s="58" t="s">
        <v>10</v>
      </c>
      <c r="B4" s="47"/>
      <c r="C4" s="48"/>
      <c r="D4" s="56" t="s">
        <v>11</v>
      </c>
      <c r="E4" s="47"/>
      <c r="F4" s="48"/>
    </row>
    <row r="5" spans="1:6" ht="18.5" customHeight="1" thickBot="1" x14ac:dyDescent="0.2">
      <c r="A5" s="53" t="s">
        <v>12</v>
      </c>
      <c r="B5" s="47"/>
      <c r="C5" s="48"/>
      <c r="D5" s="85" t="s">
        <v>13</v>
      </c>
      <c r="E5" s="86"/>
      <c r="F5" s="87"/>
    </row>
    <row r="6" spans="1:6" x14ac:dyDescent="0.15">
      <c r="A6" s="34" t="s">
        <v>14</v>
      </c>
      <c r="B6" s="32"/>
      <c r="C6" s="33"/>
      <c r="D6" s="64" t="s">
        <v>15</v>
      </c>
      <c r="E6" s="65"/>
      <c r="F6" s="66"/>
    </row>
    <row r="7" spans="1:6" x14ac:dyDescent="0.15">
      <c r="A7" s="38" t="s">
        <v>16</v>
      </c>
      <c r="B7" s="39"/>
      <c r="C7" s="37"/>
      <c r="D7" s="67" t="s">
        <v>17</v>
      </c>
      <c r="E7" s="68"/>
      <c r="F7" s="69"/>
    </row>
    <row r="8" spans="1:6" x14ac:dyDescent="0.15">
      <c r="A8" s="38" t="s">
        <v>18</v>
      </c>
      <c r="B8" s="39"/>
      <c r="C8" s="37"/>
      <c r="D8" s="70"/>
      <c r="E8" s="71"/>
      <c r="F8" s="72"/>
    </row>
    <row r="9" spans="1:6" x14ac:dyDescent="0.15">
      <c r="A9" s="38" t="s">
        <v>19</v>
      </c>
      <c r="B9" s="39"/>
      <c r="C9" s="37"/>
      <c r="D9" s="57" t="s">
        <v>20</v>
      </c>
      <c r="E9" s="36"/>
      <c r="F9" s="37"/>
    </row>
    <row r="10" spans="1:6" x14ac:dyDescent="0.15">
      <c r="A10" s="38" t="s">
        <v>21</v>
      </c>
      <c r="B10" s="39"/>
      <c r="C10" s="37"/>
      <c r="D10" s="73" t="s">
        <v>22</v>
      </c>
      <c r="E10" s="74"/>
      <c r="F10" s="75"/>
    </row>
    <row r="11" spans="1:6" x14ac:dyDescent="0.15">
      <c r="A11" s="38" t="s">
        <v>23</v>
      </c>
      <c r="B11" s="39"/>
      <c r="C11" s="37"/>
      <c r="D11" s="73" t="s">
        <v>24</v>
      </c>
      <c r="E11" s="74"/>
      <c r="F11" s="75"/>
    </row>
    <row r="12" spans="1:6" ht="18.5" customHeight="1" thickBot="1" x14ac:dyDescent="0.2">
      <c r="A12" s="49" t="s">
        <v>25</v>
      </c>
      <c r="B12" s="43"/>
      <c r="C12" s="44"/>
      <c r="D12" s="76" t="s">
        <v>26</v>
      </c>
      <c r="E12" s="77"/>
      <c r="F12" s="78"/>
    </row>
    <row r="13" spans="1:6" ht="18.5" customHeight="1" thickBot="1" x14ac:dyDescent="0.2">
      <c r="A13" s="82"/>
      <c r="B13" s="83"/>
      <c r="C13" s="83"/>
      <c r="D13" s="83"/>
      <c r="E13" s="83"/>
      <c r="F13" s="84"/>
    </row>
    <row r="14" spans="1:6" x14ac:dyDescent="0.15">
      <c r="A14" s="55" t="s">
        <v>27</v>
      </c>
      <c r="B14" s="32"/>
      <c r="C14" s="33"/>
      <c r="D14" s="41" t="s">
        <v>28</v>
      </c>
      <c r="E14" s="32"/>
      <c r="F14" s="33"/>
    </row>
    <row r="15" spans="1:6" x14ac:dyDescent="0.15">
      <c r="A15" s="40" t="s">
        <v>16</v>
      </c>
      <c r="B15" s="39"/>
      <c r="C15" s="37"/>
      <c r="D15" s="35" t="s">
        <v>29</v>
      </c>
      <c r="E15" s="36"/>
      <c r="F15" s="37"/>
    </row>
    <row r="16" spans="1:6" x14ac:dyDescent="0.15">
      <c r="A16" s="40" t="s">
        <v>18</v>
      </c>
      <c r="B16" s="39"/>
      <c r="C16" s="37"/>
      <c r="D16" s="51" t="s">
        <v>30</v>
      </c>
      <c r="E16" s="36"/>
      <c r="F16" s="37"/>
    </row>
    <row r="17" spans="1:6" x14ac:dyDescent="0.15">
      <c r="A17" s="40" t="s">
        <v>19</v>
      </c>
      <c r="B17" s="39"/>
      <c r="C17" s="37"/>
      <c r="D17" s="35" t="s">
        <v>31</v>
      </c>
      <c r="E17" s="36"/>
      <c r="F17" s="37"/>
    </row>
    <row r="18" spans="1:6" x14ac:dyDescent="0.15">
      <c r="A18" s="40" t="s">
        <v>21</v>
      </c>
      <c r="B18" s="39"/>
      <c r="C18" s="37"/>
      <c r="D18" s="61" t="s">
        <v>32</v>
      </c>
      <c r="E18" s="62"/>
      <c r="F18" s="63"/>
    </row>
    <row r="19" spans="1:6" ht="18.5" customHeight="1" thickBot="1" x14ac:dyDescent="0.2">
      <c r="A19" s="42" t="s">
        <v>33</v>
      </c>
      <c r="B19" s="43"/>
      <c r="C19" s="44"/>
      <c r="D19" s="79" t="s">
        <v>30</v>
      </c>
      <c r="E19" s="80"/>
      <c r="F19" s="81"/>
    </row>
    <row r="20" spans="1:6" ht="18.5" customHeight="1" thickBot="1" x14ac:dyDescent="0.2">
      <c r="A20" s="91"/>
      <c r="B20" s="92"/>
      <c r="C20" s="92"/>
      <c r="D20" s="92"/>
      <c r="E20" s="92"/>
      <c r="F20" s="93"/>
    </row>
    <row r="21" spans="1:6" ht="18.5" customHeight="1" thickBot="1" x14ac:dyDescent="0.2">
      <c r="A21" s="60" t="s">
        <v>34</v>
      </c>
      <c r="B21" s="47"/>
      <c r="C21" s="48"/>
      <c r="D21" s="35" t="s">
        <v>35</v>
      </c>
      <c r="E21" s="36"/>
      <c r="F21" s="37"/>
    </row>
    <row r="22" spans="1:6" ht="18.5" customHeight="1" thickBot="1" x14ac:dyDescent="0.2">
      <c r="A22" s="88"/>
      <c r="B22" s="89"/>
      <c r="C22" s="89"/>
      <c r="D22" s="89"/>
      <c r="E22" s="89"/>
      <c r="F22" s="90"/>
    </row>
    <row r="23" spans="1:6" ht="18.5" customHeight="1" thickBot="1" x14ac:dyDescent="0.2">
      <c r="A23" s="54" t="s">
        <v>36</v>
      </c>
      <c r="B23" s="47"/>
      <c r="C23" s="47"/>
      <c r="D23" s="46" t="s">
        <v>37</v>
      </c>
      <c r="E23" s="47"/>
      <c r="F23" s="48"/>
    </row>
    <row r="24" spans="1:6" ht="18.5" customHeight="1" x14ac:dyDescent="0.15">
      <c r="A24" s="3" t="s">
        <v>38</v>
      </c>
      <c r="B24" s="4"/>
      <c r="C24" s="4"/>
      <c r="D24" s="27" t="s">
        <v>39</v>
      </c>
      <c r="E24" s="8"/>
      <c r="F24" s="9"/>
    </row>
    <row r="25" spans="1:6" ht="18.5" customHeight="1" thickBot="1" x14ac:dyDescent="0.2">
      <c r="A25" s="3" t="s">
        <v>40</v>
      </c>
      <c r="B25" s="4"/>
      <c r="C25" s="6"/>
      <c r="D25" s="46" t="s">
        <v>41</v>
      </c>
      <c r="E25" s="47"/>
      <c r="F25" s="48"/>
    </row>
    <row r="26" spans="1:6" ht="18.5" customHeight="1" thickBot="1" x14ac:dyDescent="0.2">
      <c r="A26" s="88"/>
      <c r="B26" s="89"/>
      <c r="C26" s="89"/>
      <c r="D26" s="89"/>
      <c r="E26" s="89"/>
      <c r="F26" s="90"/>
    </row>
    <row r="27" spans="1:6" ht="18.5" customHeight="1" thickBot="1" x14ac:dyDescent="0.2">
      <c r="A27" s="60" t="s">
        <v>42</v>
      </c>
      <c r="B27" s="47"/>
      <c r="C27" s="48"/>
      <c r="D27" s="59" t="s">
        <v>43</v>
      </c>
      <c r="E27" s="47"/>
      <c r="F27" s="48"/>
    </row>
    <row r="28" spans="1:6" ht="18.5" customHeight="1" x14ac:dyDescent="0.15">
      <c r="A28" s="45" t="s">
        <v>2</v>
      </c>
      <c r="B28" s="43"/>
      <c r="C28" s="43"/>
      <c r="D28" s="43"/>
      <c r="E28" s="43"/>
      <c r="F28" s="44"/>
    </row>
    <row r="29" spans="1:6" ht="14" thickBot="1" x14ac:dyDescent="0.2">
      <c r="A29" s="11" t="s">
        <v>3</v>
      </c>
      <c r="B29" s="12" t="s">
        <v>4</v>
      </c>
      <c r="C29" s="7" t="s">
        <v>5</v>
      </c>
      <c r="D29" s="12" t="s">
        <v>6</v>
      </c>
      <c r="E29" s="14" t="s">
        <v>7</v>
      </c>
      <c r="F29" s="13" t="s">
        <v>8</v>
      </c>
    </row>
    <row r="30" spans="1:6" x14ac:dyDescent="0.15">
      <c r="A30" s="15">
        <v>1</v>
      </c>
      <c r="B30" s="28">
        <v>1000</v>
      </c>
      <c r="C30" s="115" t="s">
        <v>44</v>
      </c>
      <c r="D30" s="23" t="s">
        <v>45</v>
      </c>
      <c r="E30" s="116">
        <v>0.46</v>
      </c>
      <c r="F30" s="94">
        <f>ROUND(B30*E30,2)</f>
        <v>460</v>
      </c>
    </row>
    <row r="31" spans="1:6" x14ac:dyDescent="0.15">
      <c r="A31" s="16">
        <v>2</v>
      </c>
      <c r="B31" s="29">
        <v>200</v>
      </c>
      <c r="C31" s="16" t="s">
        <v>44</v>
      </c>
      <c r="D31" s="24" t="s">
        <v>46</v>
      </c>
      <c r="E31" s="30">
        <v>0.63</v>
      </c>
      <c r="F31" s="95">
        <f t="shared" ref="F31:F95" si="0">ROUND(B31*E31,2)</f>
        <v>126</v>
      </c>
    </row>
    <row r="32" spans="1:6" x14ac:dyDescent="0.15">
      <c r="A32" s="15">
        <v>3</v>
      </c>
      <c r="B32" s="29">
        <v>200</v>
      </c>
      <c r="C32" s="16" t="s">
        <v>44</v>
      </c>
      <c r="D32" s="24" t="s">
        <v>47</v>
      </c>
      <c r="E32" s="30">
        <v>0.51</v>
      </c>
      <c r="F32" s="96">
        <f t="shared" si="0"/>
        <v>102</v>
      </c>
    </row>
    <row r="33" spans="1:6" x14ac:dyDescent="0.15">
      <c r="A33" s="16">
        <v>4</v>
      </c>
      <c r="B33" s="29">
        <v>300</v>
      </c>
      <c r="C33" s="16" t="s">
        <v>44</v>
      </c>
      <c r="D33" s="24" t="s">
        <v>48</v>
      </c>
      <c r="E33" s="30">
        <v>0.76</v>
      </c>
      <c r="F33" s="95">
        <f t="shared" si="0"/>
        <v>228</v>
      </c>
    </row>
    <row r="34" spans="1:6" x14ac:dyDescent="0.15">
      <c r="A34" s="15">
        <v>5</v>
      </c>
      <c r="B34" s="29">
        <v>200</v>
      </c>
      <c r="C34" s="16" t="s">
        <v>44</v>
      </c>
      <c r="D34" s="24" t="s">
        <v>49</v>
      </c>
      <c r="E34" s="30">
        <v>0.94</v>
      </c>
      <c r="F34" s="96">
        <f t="shared" si="0"/>
        <v>188</v>
      </c>
    </row>
    <row r="35" spans="1:6" x14ac:dyDescent="0.15">
      <c r="A35" s="16">
        <v>6</v>
      </c>
      <c r="B35" s="29">
        <v>350</v>
      </c>
      <c r="C35" s="16" t="s">
        <v>44</v>
      </c>
      <c r="D35" s="24" t="s">
        <v>50</v>
      </c>
      <c r="E35" s="30">
        <v>1.1499999999999999</v>
      </c>
      <c r="F35" s="96">
        <f t="shared" si="0"/>
        <v>402.5</v>
      </c>
    </row>
    <row r="36" spans="1:6" x14ac:dyDescent="0.15">
      <c r="A36" s="15">
        <v>7</v>
      </c>
      <c r="B36" s="29">
        <v>200</v>
      </c>
      <c r="C36" s="16" t="s">
        <v>44</v>
      </c>
      <c r="D36" s="24" t="s">
        <v>51</v>
      </c>
      <c r="E36" s="30">
        <v>1.6</v>
      </c>
      <c r="F36" s="96">
        <f t="shared" si="0"/>
        <v>320</v>
      </c>
    </row>
    <row r="37" spans="1:6" x14ac:dyDescent="0.15">
      <c r="A37" s="16">
        <v>8</v>
      </c>
      <c r="B37" s="29">
        <v>70</v>
      </c>
      <c r="C37" s="16" t="s">
        <v>44</v>
      </c>
      <c r="D37" s="24" t="s">
        <v>52</v>
      </c>
      <c r="E37" s="30">
        <v>2.96</v>
      </c>
      <c r="F37" s="95">
        <f t="shared" si="0"/>
        <v>207.2</v>
      </c>
    </row>
    <row r="38" spans="1:6" x14ac:dyDescent="0.15">
      <c r="A38" s="15">
        <v>9</v>
      </c>
      <c r="B38" s="29">
        <v>20</v>
      </c>
      <c r="C38" s="16" t="s">
        <v>44</v>
      </c>
      <c r="D38" s="24" t="s">
        <v>53</v>
      </c>
      <c r="E38" s="30">
        <v>5.4</v>
      </c>
      <c r="F38" s="95">
        <f t="shared" si="0"/>
        <v>108</v>
      </c>
    </row>
    <row r="39" spans="1:6" x14ac:dyDescent="0.15">
      <c r="A39" s="16">
        <v>10</v>
      </c>
      <c r="B39" s="29">
        <v>2500</v>
      </c>
      <c r="C39" s="16" t="s">
        <v>44</v>
      </c>
      <c r="D39" s="24" t="s">
        <v>54</v>
      </c>
      <c r="E39" s="30">
        <v>3.7999999999999999E-2</v>
      </c>
      <c r="F39" s="95">
        <f t="shared" si="0"/>
        <v>95</v>
      </c>
    </row>
    <row r="40" spans="1:6" x14ac:dyDescent="0.15">
      <c r="A40" s="15">
        <v>11</v>
      </c>
      <c r="B40" s="29">
        <v>6000</v>
      </c>
      <c r="C40" s="16" t="s">
        <v>44</v>
      </c>
      <c r="D40" s="24" t="s">
        <v>55</v>
      </c>
      <c r="E40" s="30">
        <v>0.05</v>
      </c>
      <c r="F40" s="95">
        <f t="shared" si="0"/>
        <v>300</v>
      </c>
    </row>
    <row r="41" spans="1:6" x14ac:dyDescent="0.15">
      <c r="A41" s="16">
        <v>12</v>
      </c>
      <c r="B41" s="29">
        <v>6</v>
      </c>
      <c r="C41" s="16" t="s">
        <v>44</v>
      </c>
      <c r="D41" s="24" t="s">
        <v>56</v>
      </c>
      <c r="E41" s="30">
        <v>7.1</v>
      </c>
      <c r="F41" s="95">
        <f t="shared" si="0"/>
        <v>42.6</v>
      </c>
    </row>
    <row r="42" spans="1:6" x14ac:dyDescent="0.15">
      <c r="A42" s="15">
        <v>13</v>
      </c>
      <c r="B42" s="29">
        <v>6</v>
      </c>
      <c r="C42" s="16" t="s">
        <v>44</v>
      </c>
      <c r="D42" s="24" t="s">
        <v>57</v>
      </c>
      <c r="E42" s="30">
        <v>8.9</v>
      </c>
      <c r="F42" s="95">
        <f t="shared" si="0"/>
        <v>53.4</v>
      </c>
    </row>
    <row r="43" spans="1:6" x14ac:dyDescent="0.15">
      <c r="A43" s="16">
        <v>14</v>
      </c>
      <c r="B43" s="29">
        <v>6</v>
      </c>
      <c r="C43" s="16" t="s">
        <v>44</v>
      </c>
      <c r="D43" s="24" t="s">
        <v>58</v>
      </c>
      <c r="E43" s="30">
        <v>36</v>
      </c>
      <c r="F43" s="95">
        <f t="shared" si="0"/>
        <v>216</v>
      </c>
    </row>
    <row r="44" spans="1:6" x14ac:dyDescent="0.15">
      <c r="A44" s="15">
        <v>15</v>
      </c>
      <c r="B44" s="29">
        <v>1500</v>
      </c>
      <c r="C44" s="16" t="s">
        <v>44</v>
      </c>
      <c r="D44" s="24" t="s">
        <v>59</v>
      </c>
      <c r="E44" s="30">
        <v>0.45</v>
      </c>
      <c r="F44" s="95">
        <f t="shared" si="0"/>
        <v>675</v>
      </c>
    </row>
    <row r="45" spans="1:6" x14ac:dyDescent="0.15">
      <c r="A45" s="16">
        <v>16</v>
      </c>
      <c r="B45" s="29">
        <v>4000</v>
      </c>
      <c r="C45" s="16" t="s">
        <v>44</v>
      </c>
      <c r="D45" s="24" t="s">
        <v>60</v>
      </c>
      <c r="E45" s="30">
        <v>0.7</v>
      </c>
      <c r="F45" s="95">
        <f t="shared" si="0"/>
        <v>2800</v>
      </c>
    </row>
    <row r="46" spans="1:6" x14ac:dyDescent="0.15">
      <c r="A46" s="15">
        <v>17</v>
      </c>
      <c r="B46" s="29">
        <v>20</v>
      </c>
      <c r="C46" s="16" t="s">
        <v>44</v>
      </c>
      <c r="D46" s="24" t="s">
        <v>61</v>
      </c>
      <c r="E46" s="30">
        <v>48</v>
      </c>
      <c r="F46" s="95">
        <f t="shared" si="0"/>
        <v>960</v>
      </c>
    </row>
    <row r="47" spans="1:6" x14ac:dyDescent="0.15">
      <c r="A47" s="16">
        <v>18</v>
      </c>
      <c r="B47" s="29">
        <v>30</v>
      </c>
      <c r="C47" s="16" t="s">
        <v>44</v>
      </c>
      <c r="D47" s="24" t="s">
        <v>62</v>
      </c>
      <c r="E47" s="30">
        <v>89.999999000000003</v>
      </c>
      <c r="F47" s="95">
        <f t="shared" si="0"/>
        <v>2700</v>
      </c>
    </row>
    <row r="48" spans="1:6" x14ac:dyDescent="0.15">
      <c r="A48" s="15">
        <v>19</v>
      </c>
      <c r="B48" s="29">
        <v>2500</v>
      </c>
      <c r="C48" s="16" t="s">
        <v>44</v>
      </c>
      <c r="D48" s="24" t="s">
        <v>63</v>
      </c>
      <c r="E48" s="30">
        <v>0.06</v>
      </c>
      <c r="F48" s="95">
        <f t="shared" si="0"/>
        <v>150</v>
      </c>
    </row>
    <row r="49" spans="1:6" x14ac:dyDescent="0.15">
      <c r="A49" s="16">
        <v>20</v>
      </c>
      <c r="B49" s="29">
        <v>6000</v>
      </c>
      <c r="C49" s="16" t="s">
        <v>44</v>
      </c>
      <c r="D49" s="24" t="s">
        <v>64</v>
      </c>
      <c r="E49" s="30">
        <v>0.11</v>
      </c>
      <c r="F49" s="95">
        <f t="shared" si="0"/>
        <v>660</v>
      </c>
    </row>
    <row r="50" spans="1:6" x14ac:dyDescent="0.15">
      <c r="A50" s="15">
        <v>21</v>
      </c>
      <c r="B50" s="29">
        <v>150</v>
      </c>
      <c r="C50" s="16" t="s">
        <v>44</v>
      </c>
      <c r="D50" s="24" t="s">
        <v>65</v>
      </c>
      <c r="E50" s="30">
        <v>6.23</v>
      </c>
      <c r="F50" s="95">
        <f t="shared" si="0"/>
        <v>934.5</v>
      </c>
    </row>
    <row r="51" spans="1:6" x14ac:dyDescent="0.15">
      <c r="A51" s="16">
        <v>22</v>
      </c>
      <c r="B51" s="29">
        <v>350</v>
      </c>
      <c r="C51" s="16" t="s">
        <v>44</v>
      </c>
      <c r="D51" s="24" t="s">
        <v>66</v>
      </c>
      <c r="E51" s="30">
        <v>13.8</v>
      </c>
      <c r="F51" s="95">
        <f t="shared" si="0"/>
        <v>4830</v>
      </c>
    </row>
    <row r="52" spans="1:6" x14ac:dyDescent="0.15">
      <c r="A52" s="15"/>
      <c r="B52" s="19"/>
      <c r="C52" s="16"/>
      <c r="D52" s="24"/>
      <c r="E52" s="21"/>
      <c r="F52" s="97"/>
    </row>
    <row r="53" spans="1:6" x14ac:dyDescent="0.15">
      <c r="A53" s="16"/>
      <c r="B53" s="19"/>
      <c r="C53" s="16"/>
      <c r="D53" s="24"/>
      <c r="E53" s="21"/>
      <c r="F53" s="97"/>
    </row>
    <row r="54" spans="1:6" x14ac:dyDescent="0.15">
      <c r="A54" s="15"/>
      <c r="B54" s="19"/>
      <c r="C54" s="16"/>
      <c r="D54" s="24"/>
      <c r="E54" s="21"/>
      <c r="F54" s="97"/>
    </row>
    <row r="55" spans="1:6" x14ac:dyDescent="0.15">
      <c r="A55" s="16"/>
      <c r="B55" s="19"/>
      <c r="C55" s="16"/>
      <c r="D55" s="24"/>
      <c r="E55" s="21"/>
      <c r="F55" s="97"/>
    </row>
    <row r="56" spans="1:6" x14ac:dyDescent="0.15">
      <c r="A56" s="15"/>
      <c r="B56" s="19"/>
      <c r="C56" s="16"/>
      <c r="D56" s="24"/>
      <c r="E56" s="21"/>
      <c r="F56" s="97"/>
    </row>
    <row r="57" spans="1:6" x14ac:dyDescent="0.15">
      <c r="A57" s="16"/>
      <c r="B57" s="19"/>
      <c r="C57" s="16"/>
      <c r="D57" s="24"/>
      <c r="E57" s="21"/>
      <c r="F57" s="97"/>
    </row>
    <row r="58" spans="1:6" x14ac:dyDescent="0.15">
      <c r="A58" s="15"/>
      <c r="B58" s="19"/>
      <c r="C58" s="16"/>
      <c r="D58" s="24"/>
      <c r="E58" s="21"/>
      <c r="F58" s="97"/>
    </row>
    <row r="59" spans="1:6" x14ac:dyDescent="0.15">
      <c r="A59" s="16"/>
      <c r="B59" s="19"/>
      <c r="C59" s="16"/>
      <c r="D59" s="24"/>
      <c r="E59" s="21"/>
      <c r="F59" s="97"/>
    </row>
    <row r="60" spans="1:6" x14ac:dyDescent="0.15">
      <c r="A60" s="15"/>
      <c r="B60" s="19"/>
      <c r="C60" s="16"/>
      <c r="D60" s="24"/>
      <c r="E60" s="21"/>
      <c r="F60" s="97"/>
    </row>
    <row r="61" spans="1:6" x14ac:dyDescent="0.15">
      <c r="A61" s="16"/>
      <c r="B61" s="19"/>
      <c r="C61" s="16"/>
      <c r="D61" s="24"/>
      <c r="E61" s="21"/>
      <c r="F61" s="97"/>
    </row>
    <row r="62" spans="1:6" x14ac:dyDescent="0.15">
      <c r="A62" s="15"/>
      <c r="B62" s="19"/>
      <c r="C62" s="16"/>
      <c r="D62" s="24"/>
      <c r="E62" s="21"/>
      <c r="F62" s="97"/>
    </row>
    <row r="63" spans="1:6" x14ac:dyDescent="0.15">
      <c r="A63" s="16"/>
      <c r="B63" s="19"/>
      <c r="C63" s="16"/>
      <c r="D63" s="24"/>
      <c r="E63" s="21"/>
      <c r="F63" s="97"/>
    </row>
    <row r="64" spans="1:6" x14ac:dyDescent="0.15">
      <c r="A64" s="15"/>
      <c r="B64" s="19"/>
      <c r="C64" s="16"/>
      <c r="D64" s="24"/>
      <c r="E64" s="21"/>
      <c r="F64" s="97"/>
    </row>
    <row r="65" spans="1:6" x14ac:dyDescent="0.15">
      <c r="A65" s="16"/>
      <c r="B65" s="19"/>
      <c r="C65" s="16"/>
      <c r="D65" s="24"/>
      <c r="E65" s="21"/>
      <c r="F65" s="97"/>
    </row>
    <row r="66" spans="1:6" x14ac:dyDescent="0.15">
      <c r="A66" s="15"/>
      <c r="B66" s="19"/>
      <c r="C66" s="16"/>
      <c r="D66" s="24"/>
      <c r="E66" s="21"/>
      <c r="F66" s="97"/>
    </row>
    <row r="67" spans="1:6" x14ac:dyDescent="0.15">
      <c r="A67" s="16"/>
      <c r="B67" s="19"/>
      <c r="C67" s="16"/>
      <c r="D67" s="24"/>
      <c r="E67" s="21"/>
      <c r="F67" s="97"/>
    </row>
    <row r="68" spans="1:6" x14ac:dyDescent="0.15">
      <c r="A68" s="15"/>
      <c r="B68" s="19"/>
      <c r="C68" s="16"/>
      <c r="D68" s="24"/>
      <c r="E68" s="21"/>
      <c r="F68" s="97"/>
    </row>
    <row r="69" spans="1:6" x14ac:dyDescent="0.15">
      <c r="A69" s="16"/>
      <c r="B69" s="19"/>
      <c r="C69" s="16"/>
      <c r="D69" s="24"/>
      <c r="E69" s="21"/>
      <c r="F69" s="97"/>
    </row>
    <row r="70" spans="1:6" x14ac:dyDescent="0.15">
      <c r="A70" s="15"/>
      <c r="B70" s="19"/>
      <c r="C70" s="16"/>
      <c r="D70" s="24"/>
      <c r="E70" s="21"/>
      <c r="F70" s="97"/>
    </row>
    <row r="71" spans="1:6" x14ac:dyDescent="0.15">
      <c r="A71" s="16"/>
      <c r="B71" s="19"/>
      <c r="C71" s="16"/>
      <c r="D71" s="24"/>
      <c r="E71" s="21"/>
      <c r="F71" s="97"/>
    </row>
    <row r="72" spans="1:6" x14ac:dyDescent="0.15">
      <c r="A72" s="15"/>
      <c r="B72" s="19"/>
      <c r="C72" s="16"/>
      <c r="D72" s="24"/>
      <c r="E72" s="21"/>
      <c r="F72" s="97"/>
    </row>
    <row r="73" spans="1:6" x14ac:dyDescent="0.15">
      <c r="A73" s="16"/>
      <c r="B73" s="19"/>
      <c r="C73" s="16"/>
      <c r="D73" s="24"/>
      <c r="E73" s="21"/>
      <c r="F73" s="97"/>
    </row>
    <row r="74" spans="1:6" x14ac:dyDescent="0.15">
      <c r="A74" s="15"/>
      <c r="B74" s="19"/>
      <c r="C74" s="16"/>
      <c r="D74" s="24"/>
      <c r="E74" s="21"/>
      <c r="F74" s="97"/>
    </row>
    <row r="75" spans="1:6" x14ac:dyDescent="0.15">
      <c r="A75" s="16"/>
      <c r="B75" s="19"/>
      <c r="C75" s="16"/>
      <c r="D75" s="24"/>
      <c r="E75" s="21"/>
      <c r="F75" s="97"/>
    </row>
    <row r="76" spans="1:6" x14ac:dyDescent="0.15">
      <c r="A76" s="15"/>
      <c r="B76" s="19"/>
      <c r="C76" s="16"/>
      <c r="D76" s="24"/>
      <c r="E76" s="21"/>
      <c r="F76" s="97"/>
    </row>
    <row r="77" spans="1:6" x14ac:dyDescent="0.15">
      <c r="A77" s="16"/>
      <c r="B77" s="19"/>
      <c r="C77" s="16"/>
      <c r="D77" s="24"/>
      <c r="E77" s="21"/>
      <c r="F77" s="97"/>
    </row>
    <row r="78" spans="1:6" x14ac:dyDescent="0.15">
      <c r="A78" s="15"/>
      <c r="B78" s="19"/>
      <c r="C78" s="16"/>
      <c r="D78" s="24"/>
      <c r="E78" s="21"/>
      <c r="F78" s="97"/>
    </row>
    <row r="79" spans="1:6" x14ac:dyDescent="0.15">
      <c r="A79" s="16"/>
      <c r="B79" s="19"/>
      <c r="C79" s="16"/>
      <c r="D79" s="24"/>
      <c r="E79" s="21"/>
      <c r="F79" s="97"/>
    </row>
    <row r="80" spans="1:6" x14ac:dyDescent="0.15">
      <c r="A80" s="15"/>
      <c r="B80" s="19"/>
      <c r="C80" s="16"/>
      <c r="D80" s="24"/>
      <c r="E80" s="21"/>
      <c r="F80" s="97"/>
    </row>
    <row r="81" spans="1:8" x14ac:dyDescent="0.15">
      <c r="A81" s="16"/>
      <c r="B81" s="19"/>
      <c r="C81" s="16"/>
      <c r="D81" s="24"/>
      <c r="E81" s="21"/>
      <c r="F81" s="97"/>
    </row>
    <row r="82" spans="1:8" x14ac:dyDescent="0.15">
      <c r="A82" s="15"/>
      <c r="B82" s="19"/>
      <c r="C82" s="16"/>
      <c r="D82" s="24"/>
      <c r="E82" s="21"/>
      <c r="F82" s="97"/>
    </row>
    <row r="83" spans="1:8" x14ac:dyDescent="0.15">
      <c r="A83" s="16"/>
      <c r="B83" s="19"/>
      <c r="C83" s="16"/>
      <c r="D83" s="24"/>
      <c r="E83" s="21"/>
      <c r="F83" s="97"/>
    </row>
    <row r="84" spans="1:8" x14ac:dyDescent="0.15">
      <c r="A84" s="15"/>
      <c r="B84" s="19"/>
      <c r="C84" s="16"/>
      <c r="D84" s="24"/>
      <c r="E84" s="21"/>
      <c r="F84" s="97"/>
    </row>
    <row r="85" spans="1:8" x14ac:dyDescent="0.15">
      <c r="A85" s="16"/>
      <c r="B85" s="20"/>
      <c r="C85" s="10"/>
      <c r="D85" s="25"/>
      <c r="E85" s="21"/>
      <c r="F85" s="97"/>
    </row>
    <row r="86" spans="1:8" x14ac:dyDescent="0.15">
      <c r="A86" s="15"/>
      <c r="B86" s="20"/>
      <c r="C86" s="10"/>
      <c r="D86" s="26"/>
      <c r="E86" s="21"/>
      <c r="F86" s="97"/>
    </row>
    <row r="87" spans="1:8" x14ac:dyDescent="0.15">
      <c r="A87" s="16"/>
      <c r="B87" s="20"/>
      <c r="C87" s="10"/>
      <c r="D87" s="26"/>
      <c r="E87" s="21"/>
      <c r="F87" s="97"/>
    </row>
    <row r="88" spans="1:8" x14ac:dyDescent="0.15">
      <c r="A88" s="15"/>
      <c r="B88" s="20"/>
      <c r="C88" s="10"/>
      <c r="D88" s="26"/>
      <c r="E88" s="21"/>
      <c r="F88" s="97"/>
    </row>
    <row r="89" spans="1:8" x14ac:dyDescent="0.15">
      <c r="A89" s="16"/>
      <c r="B89" s="20"/>
      <c r="C89" s="10"/>
      <c r="D89" s="26"/>
      <c r="E89" s="21"/>
      <c r="F89" s="97"/>
    </row>
    <row r="90" spans="1:8" x14ac:dyDescent="0.15">
      <c r="A90" s="15"/>
      <c r="B90" s="20"/>
      <c r="C90" s="10"/>
      <c r="D90" s="26"/>
      <c r="E90" s="21"/>
      <c r="F90" s="97"/>
    </row>
    <row r="91" spans="1:8" x14ac:dyDescent="0.15">
      <c r="A91" s="16"/>
      <c r="B91" s="20"/>
      <c r="C91" s="10"/>
      <c r="D91" s="26"/>
      <c r="E91" s="21"/>
      <c r="F91" s="97"/>
    </row>
    <row r="92" spans="1:8" x14ac:dyDescent="0.15">
      <c r="A92" s="15"/>
      <c r="B92" s="20"/>
      <c r="C92" s="10"/>
      <c r="D92" s="26"/>
      <c r="E92" s="21"/>
      <c r="F92" s="97"/>
      <c r="H92" s="1"/>
    </row>
    <row r="93" spans="1:8" x14ac:dyDescent="0.15">
      <c r="A93" s="16"/>
      <c r="B93" s="20"/>
      <c r="C93" s="10"/>
      <c r="D93" s="26"/>
      <c r="E93" s="21"/>
      <c r="F93" s="97"/>
      <c r="H93" s="1"/>
    </row>
    <row r="94" spans="1:8" x14ac:dyDescent="0.15">
      <c r="A94" s="15"/>
      <c r="B94" s="20"/>
      <c r="C94" s="10"/>
      <c r="D94" s="26"/>
      <c r="E94" s="21"/>
      <c r="F94" s="97"/>
      <c r="H94" s="1"/>
    </row>
    <row r="95" spans="1:8" x14ac:dyDescent="0.15">
      <c r="A95" s="16"/>
      <c r="B95" s="20"/>
      <c r="C95" s="10"/>
      <c r="D95" s="26"/>
      <c r="E95" s="21"/>
      <c r="F95" s="97"/>
      <c r="H95" s="1"/>
    </row>
    <row r="96" spans="1:8" x14ac:dyDescent="0.15">
      <c r="A96" s="15"/>
      <c r="B96" s="20"/>
      <c r="C96" s="10"/>
      <c r="D96" s="26"/>
      <c r="E96" s="21"/>
      <c r="F96" s="97" t="str">
        <f t="shared" ref="F96:F97" si="1">IF(OR(B96="",E96=""),"",ROUND(B96*E96,2))</f>
        <v/>
      </c>
      <c r="H96" s="1"/>
    </row>
    <row r="97" spans="1:8" x14ac:dyDescent="0.15">
      <c r="A97" s="16"/>
      <c r="B97" s="20"/>
      <c r="C97" s="10"/>
      <c r="D97" s="26"/>
      <c r="E97" s="21"/>
      <c r="F97" s="97" t="str">
        <f t="shared" si="1"/>
        <v/>
      </c>
      <c r="H97" s="1"/>
    </row>
    <row r="98" spans="1:8" x14ac:dyDescent="0.15">
      <c r="A98" s="15"/>
      <c r="B98" s="20"/>
      <c r="C98" s="10"/>
      <c r="D98" s="26"/>
      <c r="E98" s="21"/>
      <c r="F98" s="97" t="str">
        <f t="shared" ref="F98:F101" si="2">IF(OR(B98="",E98=""),"",ROUND(B98*E98,2))</f>
        <v/>
      </c>
      <c r="H98" s="1"/>
    </row>
    <row r="99" spans="1:8" x14ac:dyDescent="0.15">
      <c r="A99" s="16"/>
      <c r="B99" s="20"/>
      <c r="C99" s="10"/>
      <c r="D99" s="26"/>
      <c r="E99" s="21"/>
      <c r="F99" s="97" t="str">
        <f t="shared" si="2"/>
        <v/>
      </c>
      <c r="H99" s="1"/>
    </row>
    <row r="100" spans="1:8" x14ac:dyDescent="0.15">
      <c r="A100" s="15"/>
      <c r="B100" s="20"/>
      <c r="C100" s="10"/>
      <c r="D100" s="26"/>
      <c r="E100" s="21"/>
      <c r="F100" s="97" t="str">
        <f t="shared" si="2"/>
        <v/>
      </c>
      <c r="H100" s="1"/>
    </row>
    <row r="101" spans="1:8" x14ac:dyDescent="0.15">
      <c r="A101" s="16"/>
      <c r="B101" s="20"/>
      <c r="C101" s="10"/>
      <c r="D101" s="26"/>
      <c r="E101" s="21"/>
      <c r="F101" s="97" t="str">
        <f t="shared" si="2"/>
        <v/>
      </c>
      <c r="H101" s="1"/>
    </row>
    <row r="102" spans="1:8" x14ac:dyDescent="0.15">
      <c r="A102" s="15"/>
      <c r="B102" s="20"/>
      <c r="C102" s="10"/>
      <c r="D102" s="26"/>
      <c r="E102" s="21"/>
      <c r="F102" s="97" t="str">
        <f t="shared" ref="F102:F104" si="3">IF(OR(B102="",E102=""),"",ROUND(B102*E102,2))</f>
        <v/>
      </c>
      <c r="H102" s="1"/>
    </row>
    <row r="103" spans="1:8" x14ac:dyDescent="0.15">
      <c r="A103" s="16"/>
      <c r="B103" s="20"/>
      <c r="C103" s="10"/>
      <c r="D103" s="26"/>
      <c r="E103" s="21"/>
      <c r="F103" s="97" t="str">
        <f t="shared" si="3"/>
        <v/>
      </c>
      <c r="H103" s="1"/>
    </row>
    <row r="104" spans="1:8" x14ac:dyDescent="0.15">
      <c r="A104" s="15"/>
      <c r="B104" s="20"/>
      <c r="C104" s="10"/>
      <c r="D104" s="26"/>
      <c r="E104" s="21"/>
      <c r="F104" s="97" t="str">
        <f t="shared" si="3"/>
        <v/>
      </c>
      <c r="H104" s="1"/>
    </row>
    <row r="105" spans="1:8" x14ac:dyDescent="0.15">
      <c r="A105" s="16"/>
      <c r="B105" s="20"/>
      <c r="C105" s="10"/>
      <c r="D105" s="26"/>
      <c r="E105" s="21"/>
      <c r="F105" s="97" t="str">
        <f t="shared" ref="F105:F109" si="4">IF(OR(B105="",E105=""),"",ROUND(B105*E105,2))</f>
        <v/>
      </c>
      <c r="H105" s="1"/>
    </row>
    <row r="106" spans="1:8" x14ac:dyDescent="0.15">
      <c r="A106" s="15"/>
      <c r="B106" s="20"/>
      <c r="C106" s="10"/>
      <c r="D106" s="26"/>
      <c r="E106" s="21"/>
      <c r="F106" s="97" t="str">
        <f t="shared" si="4"/>
        <v/>
      </c>
      <c r="H106" s="1"/>
    </row>
    <row r="107" spans="1:8" x14ac:dyDescent="0.15">
      <c r="A107" s="16"/>
      <c r="B107" s="20"/>
      <c r="C107" s="10"/>
      <c r="D107" s="26"/>
      <c r="E107" s="21"/>
      <c r="F107" s="97" t="str">
        <f t="shared" si="4"/>
        <v/>
      </c>
      <c r="H107" s="1"/>
    </row>
    <row r="108" spans="1:8" x14ac:dyDescent="0.15">
      <c r="A108" s="15"/>
      <c r="B108" s="20"/>
      <c r="C108" s="10"/>
      <c r="D108" s="26"/>
      <c r="E108" s="21"/>
      <c r="F108" s="97" t="str">
        <f t="shared" si="4"/>
        <v/>
      </c>
      <c r="H108" s="1"/>
    </row>
    <row r="109" spans="1:8" ht="14" thickBot="1" x14ac:dyDescent="0.2">
      <c r="A109" s="107"/>
      <c r="B109" s="108"/>
      <c r="C109" s="110"/>
      <c r="D109" s="111"/>
      <c r="E109" s="112"/>
      <c r="F109" s="113" t="str">
        <f t="shared" si="4"/>
        <v/>
      </c>
      <c r="H109" s="1"/>
    </row>
    <row r="110" spans="1:8" x14ac:dyDescent="0.15">
      <c r="A110" s="106" t="s">
        <v>67</v>
      </c>
      <c r="B110" s="102"/>
      <c r="C110" s="102"/>
      <c r="D110" s="103"/>
      <c r="E110" s="109" t="s">
        <v>68</v>
      </c>
      <c r="F110" s="114">
        <f>SUM(F30:F51)</f>
        <v>16558.2</v>
      </c>
      <c r="H110" s="1"/>
    </row>
    <row r="111" spans="1:8" x14ac:dyDescent="0.15">
      <c r="A111" s="102"/>
      <c r="B111" s="102"/>
      <c r="C111" s="102"/>
      <c r="D111" s="103"/>
      <c r="E111" s="22" t="s">
        <v>69</v>
      </c>
      <c r="F111" s="98">
        <v>0</v>
      </c>
      <c r="H111" s="1"/>
    </row>
    <row r="112" spans="1:8" x14ac:dyDescent="0.15">
      <c r="A112" s="102"/>
      <c r="B112" s="102"/>
      <c r="C112" s="102"/>
      <c r="D112" s="103"/>
      <c r="E112" s="22" t="s">
        <v>70</v>
      </c>
      <c r="F112" s="98">
        <v>0</v>
      </c>
      <c r="H112" s="1"/>
    </row>
    <row r="113" spans="1:8" ht="14" thickBot="1" x14ac:dyDescent="0.2">
      <c r="A113" s="104"/>
      <c r="B113" s="104"/>
      <c r="C113" s="104"/>
      <c r="D113" s="105"/>
      <c r="E113" s="101" t="s">
        <v>71</v>
      </c>
      <c r="F113" s="99">
        <f>F110+F111-F112</f>
        <v>16558.2</v>
      </c>
      <c r="H113" s="1"/>
    </row>
    <row r="114" spans="1:8" x14ac:dyDescent="0.15">
      <c r="A114" s="17"/>
      <c r="B114" s="17"/>
      <c r="C114" s="17"/>
      <c r="D114" s="17"/>
      <c r="E114" s="100"/>
      <c r="F114" s="18"/>
      <c r="H114" s="1"/>
    </row>
    <row r="115" spans="1:8" x14ac:dyDescent="0.15">
      <c r="H115" s="1"/>
    </row>
    <row r="116" spans="1:8" x14ac:dyDescent="0.15">
      <c r="H116" s="1"/>
    </row>
    <row r="117" spans="1:8" x14ac:dyDescent="0.15">
      <c r="H117" s="1"/>
    </row>
    <row r="118" spans="1:8" x14ac:dyDescent="0.15">
      <c r="H118" s="1"/>
    </row>
    <row r="119" spans="1:8" x14ac:dyDescent="0.15">
      <c r="H119" s="1"/>
    </row>
    <row r="120" spans="1:8" x14ac:dyDescent="0.15">
      <c r="H120" s="1"/>
    </row>
    <row r="121" spans="1:8" x14ac:dyDescent="0.15">
      <c r="H121" s="1"/>
    </row>
    <row r="122" spans="1:8" x14ac:dyDescent="0.15">
      <c r="H122" s="1"/>
    </row>
    <row r="123" spans="1:8" x14ac:dyDescent="0.15">
      <c r="H123" s="1"/>
    </row>
    <row r="124" spans="1:8" x14ac:dyDescent="0.15">
      <c r="H124" s="1"/>
    </row>
    <row r="125" spans="1:8" x14ac:dyDescent="0.15">
      <c r="H125" s="1"/>
    </row>
    <row r="126" spans="1:8" x14ac:dyDescent="0.15">
      <c r="H126" s="1"/>
    </row>
    <row r="127" spans="1:8" x14ac:dyDescent="0.15">
      <c r="H127" s="1"/>
    </row>
    <row r="128" spans="1:8" x14ac:dyDescent="0.15">
      <c r="H128" s="1"/>
    </row>
    <row r="129" spans="8:8" x14ac:dyDescent="0.15">
      <c r="H129" s="1"/>
    </row>
    <row r="130" spans="8:8" x14ac:dyDescent="0.15">
      <c r="H130" s="1"/>
    </row>
    <row r="131" spans="8:8" x14ac:dyDescent="0.15">
      <c r="H131" s="1"/>
    </row>
    <row r="132" spans="8:8" x14ac:dyDescent="0.15">
      <c r="H132" s="1"/>
    </row>
    <row r="133" spans="8:8" x14ac:dyDescent="0.15">
      <c r="H133" s="1"/>
    </row>
    <row r="134" spans="8:8" x14ac:dyDescent="0.15">
      <c r="H134" s="1"/>
    </row>
    <row r="160" spans="7:7" x14ac:dyDescent="0.15">
      <c r="G160" s="2"/>
    </row>
    <row r="161" spans="7:7" x14ac:dyDescent="0.15">
      <c r="G161" s="2"/>
    </row>
    <row r="162" spans="7:7" x14ac:dyDescent="0.15">
      <c r="G162" s="2"/>
    </row>
    <row r="163" spans="7:7" x14ac:dyDescent="0.15">
      <c r="G163" s="2"/>
    </row>
    <row r="164" spans="7:7" x14ac:dyDescent="0.15">
      <c r="G164" s="2"/>
    </row>
    <row r="165" spans="7:7" x14ac:dyDescent="0.15">
      <c r="G165" s="2"/>
    </row>
    <row r="166" spans="7:7" x14ac:dyDescent="0.15">
      <c r="G166" s="2"/>
    </row>
    <row r="167" spans="7:7" x14ac:dyDescent="0.15">
      <c r="G167" s="2"/>
    </row>
    <row r="168" spans="7:7" x14ac:dyDescent="0.15">
      <c r="G168" s="2"/>
    </row>
    <row r="169" spans="7:7" x14ac:dyDescent="0.15">
      <c r="G169" s="2"/>
    </row>
    <row r="170" spans="7:7" x14ac:dyDescent="0.15">
      <c r="G170" s="2"/>
    </row>
    <row r="171" spans="7:7" x14ac:dyDescent="0.15">
      <c r="G171" s="2"/>
    </row>
    <row r="172" spans="7:7" x14ac:dyDescent="0.15">
      <c r="G172" s="2"/>
    </row>
    <row r="173" spans="7:7" x14ac:dyDescent="0.15">
      <c r="G173" s="2"/>
    </row>
    <row r="174" spans="7:7" x14ac:dyDescent="0.15">
      <c r="G174" s="2"/>
    </row>
    <row r="175" spans="7:7" x14ac:dyDescent="0.15">
      <c r="G175" s="2"/>
    </row>
    <row r="176" spans="7:7" x14ac:dyDescent="0.15">
      <c r="G176" s="2"/>
    </row>
    <row r="177" spans="7:7" x14ac:dyDescent="0.15">
      <c r="G177" s="2"/>
    </row>
    <row r="178" spans="7:7" x14ac:dyDescent="0.15">
      <c r="G178" s="2"/>
    </row>
    <row r="179" spans="7:7" x14ac:dyDescent="0.15">
      <c r="G179" s="2"/>
    </row>
    <row r="212" spans="8:8" x14ac:dyDescent="0.15">
      <c r="H212" s="2"/>
    </row>
    <row r="213" spans="8:8" x14ac:dyDescent="0.15">
      <c r="H213" s="2"/>
    </row>
  </sheetData>
  <mergeCells count="46">
    <mergeCell ref="A22:F22"/>
    <mergeCell ref="A26:F26"/>
    <mergeCell ref="A110:D113"/>
    <mergeCell ref="D16:F16"/>
    <mergeCell ref="A2:F2"/>
    <mergeCell ref="A5:C5"/>
    <mergeCell ref="A23:C23"/>
    <mergeCell ref="A14:C14"/>
    <mergeCell ref="D4:F4"/>
    <mergeCell ref="A8:C8"/>
    <mergeCell ref="A17:C17"/>
    <mergeCell ref="D18:F18"/>
    <mergeCell ref="D9:F9"/>
    <mergeCell ref="A4:C4"/>
    <mergeCell ref="D25:F25"/>
    <mergeCell ref="D15:F15"/>
    <mergeCell ref="D27:F27"/>
    <mergeCell ref="A18:C18"/>
    <mergeCell ref="A28:F28"/>
    <mergeCell ref="D5:F5"/>
    <mergeCell ref="D23:F23"/>
    <mergeCell ref="A9:C9"/>
    <mergeCell ref="A15:C15"/>
    <mergeCell ref="A11:C11"/>
    <mergeCell ref="A12:C12"/>
    <mergeCell ref="A27:C27"/>
    <mergeCell ref="D17:F17"/>
    <mergeCell ref="A21:C21"/>
    <mergeCell ref="D6:F6"/>
    <mergeCell ref="D7:F7"/>
    <mergeCell ref="D8:F8"/>
    <mergeCell ref="D10:F10"/>
    <mergeCell ref="D11:F11"/>
    <mergeCell ref="A1:F1"/>
    <mergeCell ref="A6:C6"/>
    <mergeCell ref="D21:F21"/>
    <mergeCell ref="A7:C7"/>
    <mergeCell ref="A16:C16"/>
    <mergeCell ref="A10:C10"/>
    <mergeCell ref="D14:F14"/>
    <mergeCell ref="A19:C19"/>
    <mergeCell ref="A3:F3"/>
    <mergeCell ref="D12:F12"/>
    <mergeCell ref="D19:F19"/>
    <mergeCell ref="A13:F13"/>
    <mergeCell ref="A20:F20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PEDIDO 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Felipe Barcelos</cp:lastModifiedBy>
  <dcterms:created xsi:type="dcterms:W3CDTF">2026-05-21T21:45:02Z</dcterms:created>
  <dcterms:modified xsi:type="dcterms:W3CDTF">2026-05-21T21:45:02Z</dcterms:modified>
</cp:coreProperties>
</file>