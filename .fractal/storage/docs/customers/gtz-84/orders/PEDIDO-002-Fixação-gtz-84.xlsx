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xmlns:r="http://schemas.openxmlformats.org/officeDocument/2006/relationships"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8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  <xf numFmtId="0" fontId="16" fillId="0" borderId="32" applyAlignment="1" pivotButton="0" quotePrefix="0" xfId="0">
      <alignment horizontal="center"/>
    </xf>
    <xf numFmtId="4" fontId="16" fillId="0" borderId="32" applyAlignment="1" pivotButton="0" quotePrefix="0" xfId="0">
      <alignment horizontal="center"/>
    </xf>
    <xf numFmtId="0" fontId="16" fillId="0" borderId="32" pivotButton="0" quotePrefix="0" xfId="0"/>
    <xf numFmtId="166" fontId="16" fillId="2" borderId="36" applyAlignment="1" pivotButton="0" quotePrefix="0" xfId="0">
      <alignment horizontal="left"/>
    </xf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002 - Fixação - GTZ 84 INVESTIMENTOS IMOBILIÁRIOS SPE LTDA.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3029615 - Fixagold Fixação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23/06/2026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Fixagold Fixação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11.551.676/0001-90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/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R. Susana, 522 - Jd Independencia, São Paulo - SP, 03223-000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(11) 2387-7880 - vendas2@fixagold.com.br -  Matheus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 xml:space="preserve">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GTZ 84 INVESTIMENTOS IMOBILIÁRIOS SPE LTDA.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48.950.512/0001-45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Avenida Ibirapuera, 1753 - Conj. 21 - Indianópolis - São Paulo/SP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04029-100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11 3050-0700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/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Itens de estoque em até 2 dias para a Grande São Paulo após confirmação do pedido.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Não emitir nota fiscal após o dia 25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Avenida Ibirapuera, 1753 - Conj. 21 - Indianópolis - São Paulo/SP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8:00 HS AS 11:00 HS E DAS 13:00 HS AS 16:00 HS</t>
        </is>
      </c>
      <c r="E27" s="102" t="n"/>
      <c r="F27" s="103" t="n"/>
    </row>
    <row r="28" ht="18.5" customHeight="1" s="62" thickBot="1">
      <c r="A28" s="71" t="inlineStr">
        <is>
          <t>NÃO SERÁ ACEITO EM HIPOTESE NENHUMA NEGOCIAÇÃO DE TÍTULOS CONTRA TERCEIROS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 s="62">
      <c r="A30" s="134" t="inlineStr">
        <is>
          <t>AUPP1.1/4GE</t>
        </is>
      </c>
      <c r="B30" s="135" t="n">
        <v>100</v>
      </c>
      <c r="C30" s="134" t="inlineStr">
        <is>
          <t>PC</t>
        </is>
      </c>
      <c r="D30" s="136" t="inlineStr">
        <is>
          <t>ABRAÇ U PERFIL C/ PARAF 1.1/4</t>
        </is>
      </c>
      <c r="E30" s="120" t="n">
        <v>0.75</v>
      </c>
      <c r="F30" s="137">
        <f>IF(OR(B30="",E30=""),"",ROUND(B30*E30,2))</f>
        <v/>
      </c>
    </row>
    <row r="31" s="62" thickBot="1">
      <c r="A31" s="134" t="inlineStr">
        <is>
          <t>AUPP2GE</t>
        </is>
      </c>
      <c r="B31" s="135" t="n">
        <v>500</v>
      </c>
      <c r="C31" s="134" t="inlineStr">
        <is>
          <t>PC</t>
        </is>
      </c>
      <c r="D31" s="136" t="inlineStr">
        <is>
          <t>ABRAÇ U PERFIL C/ PARAF 2</t>
        </is>
      </c>
      <c r="E31" s="120" t="n">
        <v>0.96</v>
      </c>
      <c r="F31" s="137">
        <f>IF(OR(B31="",E31=""),"",ROUND(B31*E31,2))</f>
        <v/>
      </c>
    </row>
    <row r="32" s="62">
      <c r="A32" s="134" t="inlineStr">
        <is>
          <t>AUPP3GE</t>
        </is>
      </c>
      <c r="B32" s="135" t="n">
        <v>300</v>
      </c>
      <c r="C32" s="134" t="inlineStr">
        <is>
          <t>PC</t>
        </is>
      </c>
      <c r="D32" s="136" t="inlineStr">
        <is>
          <t>ABRAÇ U PERFIL C/ PARAF 3</t>
        </is>
      </c>
      <c r="E32" s="120" t="n">
        <v>1.48</v>
      </c>
      <c r="F32" s="137">
        <f>IF(OR(B32="",E32=""),"",ROUND(B32*E32,2))</f>
        <v/>
      </c>
    </row>
    <row r="33" s="62">
      <c r="A33" s="134" t="inlineStr">
        <is>
          <t>AUPP4GE</t>
        </is>
      </c>
      <c r="B33" s="135" t="n">
        <v>300</v>
      </c>
      <c r="C33" s="134" t="inlineStr">
        <is>
          <t>PC</t>
        </is>
      </c>
      <c r="D33" s="136" t="inlineStr">
        <is>
          <t>ABRAÇ U PERFIL C/ PARAF 4</t>
        </is>
      </c>
      <c r="E33" s="120" t="n">
        <v>1.68</v>
      </c>
      <c r="F33" s="137">
        <f>IF(OR(B33="",E33=""),"",ROUND(B33*E33,2))</f>
        <v/>
      </c>
    </row>
    <row r="34" s="62">
      <c r="A34" s="134" t="inlineStr">
        <is>
          <t>AUPP6GE</t>
        </is>
      </c>
      <c r="B34" s="135" t="n">
        <v>100</v>
      </c>
      <c r="C34" s="134" t="inlineStr">
        <is>
          <t>PC</t>
        </is>
      </c>
      <c r="D34" s="136" t="inlineStr">
        <is>
          <t>ABRAÇ U PERFIL C/ PARAF 6</t>
        </is>
      </c>
      <c r="E34" s="120" t="n">
        <v>3.48</v>
      </c>
      <c r="F34" s="137">
        <f>IF(OR(B34="",E34=""),"",ROUND(B34*E34,2))</f>
        <v/>
      </c>
    </row>
    <row r="35" s="62" thickBot="1">
      <c r="A35" s="134" t="inlineStr">
        <is>
          <t>AGE1GE</t>
        </is>
      </c>
      <c r="B35" s="135" t="n">
        <v>100</v>
      </c>
      <c r="C35" s="134" t="inlineStr">
        <is>
          <t>PC</t>
        </is>
      </c>
      <c r="D35" s="136" t="inlineStr">
        <is>
          <t>ABRAÇ GOTA ECONOMICA 1</t>
        </is>
      </c>
      <c r="E35" s="120" t="n">
        <v>0.45</v>
      </c>
      <c r="F35" s="137">
        <f>IF(OR(B35="",E35=""),"",ROUND(B35*E35,2))</f>
        <v/>
      </c>
    </row>
    <row r="36" s="62">
      <c r="A36" s="134" t="inlineStr">
        <is>
          <t>AGE1GE</t>
        </is>
      </c>
      <c r="B36" s="135" t="n">
        <v>1000</v>
      </c>
      <c r="C36" s="134" t="inlineStr">
        <is>
          <t>PC</t>
        </is>
      </c>
      <c r="D36" s="136" t="inlineStr">
        <is>
          <t>ABRAÇ GOTA ECONOMICA 1</t>
        </is>
      </c>
      <c r="E36" s="120" t="n">
        <v>0.45</v>
      </c>
      <c r="F36" s="137">
        <f>IF(OR(B36="",E36=""),"",ROUND(B36*E36,2))</f>
        <v/>
      </c>
    </row>
    <row r="37" s="62">
      <c r="A37" s="134" t="inlineStr">
        <is>
          <t>AGE1.1/4GE</t>
        </is>
      </c>
      <c r="B37" s="135" t="n">
        <v>500</v>
      </c>
      <c r="C37" s="134" t="inlineStr">
        <is>
          <t>PC</t>
        </is>
      </c>
      <c r="D37" s="136" t="inlineStr">
        <is>
          <t>ABRAÇ GOTA ECONOMICA 1.1/4</t>
        </is>
      </c>
      <c r="E37" s="120" t="n">
        <v>0.51</v>
      </c>
      <c r="F37" s="137">
        <f>IF(OR(B37="",E37=""),"",ROUND(B37*E37,2))</f>
        <v/>
      </c>
    </row>
    <row r="38" s="62">
      <c r="A38" s="134" t="inlineStr">
        <is>
          <t>AGE2GE</t>
        </is>
      </c>
      <c r="B38" s="135" t="n">
        <v>500</v>
      </c>
      <c r="C38" s="134" t="inlineStr">
        <is>
          <t>PC</t>
        </is>
      </c>
      <c r="D38" s="136" t="inlineStr">
        <is>
          <t>ABRAÇ GOTA ECONOMICA 2</t>
        </is>
      </c>
      <c r="E38" s="120" t="n">
        <v>0.76</v>
      </c>
      <c r="F38" s="137">
        <f>IF(OR(B38="",E38=""),"",ROUND(B38*E38,2))</f>
        <v/>
      </c>
    </row>
    <row r="39" s="62">
      <c r="A39" s="134" t="inlineStr">
        <is>
          <t>AGE3GE</t>
        </is>
      </c>
      <c r="B39" s="135" t="n">
        <v>300</v>
      </c>
      <c r="C39" s="134" t="inlineStr">
        <is>
          <t>PC</t>
        </is>
      </c>
      <c r="D39" s="136" t="inlineStr">
        <is>
          <t>ABRAÇ GOTA ECONOMICA 3</t>
        </is>
      </c>
      <c r="E39" s="120" t="n">
        <v>1.2</v>
      </c>
      <c r="F39" s="137">
        <f>IF(OR(B39="",E39=""),"",ROUND(B39*E39,2))</f>
        <v/>
      </c>
    </row>
    <row r="40" s="62">
      <c r="A40" s="134" t="inlineStr">
        <is>
          <t>AGE4GE</t>
        </is>
      </c>
      <c r="B40" s="135" t="n">
        <v>500</v>
      </c>
      <c r="C40" s="134" t="inlineStr">
        <is>
          <t>PC</t>
        </is>
      </c>
      <c r="D40" s="136" t="inlineStr">
        <is>
          <t>ABRAÇ GOTA ECONOMICA 4</t>
        </is>
      </c>
      <c r="E40" s="120" t="n">
        <v>1.7</v>
      </c>
      <c r="F40" s="137">
        <f>IF(OR(B40="",E40=""),"",ROUND(B40*E40,2))</f>
        <v/>
      </c>
    </row>
    <row r="41" s="62">
      <c r="A41" s="134" t="inlineStr">
        <is>
          <t>AGE6GE</t>
        </is>
      </c>
      <c r="B41" s="135" t="n">
        <v>300</v>
      </c>
      <c r="C41" s="134" t="inlineStr">
        <is>
          <t>PC</t>
        </is>
      </c>
      <c r="D41" s="136" t="inlineStr">
        <is>
          <t>ABRAÇ GOTA ECONOMICA 6</t>
        </is>
      </c>
      <c r="E41" s="120" t="n">
        <v>3.2</v>
      </c>
      <c r="F41" s="137">
        <f>IF(OR(B41="",E41=""),"",ROUND(B41*E41,2))</f>
        <v/>
      </c>
    </row>
    <row r="42" s="62">
      <c r="A42" s="134" t="inlineStr">
        <is>
          <t>AL1/4</t>
        </is>
      </c>
      <c r="B42" s="135" t="n">
        <v>3000</v>
      </c>
      <c r="C42" s="134" t="inlineStr">
        <is>
          <t>PC</t>
        </is>
      </c>
      <c r="D42" s="136" t="inlineStr">
        <is>
          <t>ARRUELA LISA 1/4</t>
        </is>
      </c>
      <c r="E42" s="120" t="n">
        <v>0.038</v>
      </c>
      <c r="F42" s="137">
        <f>IF(OR(B42="",E42=""),"",ROUND(B42*E42,2))</f>
        <v/>
      </c>
    </row>
    <row r="43" s="62">
      <c r="A43" s="134" t="inlineStr">
        <is>
          <t>AL3/8</t>
        </is>
      </c>
      <c r="B43" s="135" t="n">
        <v>5000</v>
      </c>
      <c r="C43" s="134" t="inlineStr">
        <is>
          <t>PC</t>
        </is>
      </c>
      <c r="D43" s="136" t="inlineStr">
        <is>
          <t>ARRUELA LISA 3/8</t>
        </is>
      </c>
      <c r="E43" s="120" t="n">
        <v>0.05</v>
      </c>
      <c r="F43" s="137">
        <f>IF(OR(B43="",E43=""),"",ROUND(B43*E43,2))</f>
        <v/>
      </c>
    </row>
    <row r="44" s="62">
      <c r="A44" s="134" t="inlineStr">
        <is>
          <t>JC3/8</t>
        </is>
      </c>
      <c r="B44" s="135" t="n">
        <v>3000</v>
      </c>
      <c r="C44" s="134" t="inlineStr">
        <is>
          <t>PC</t>
        </is>
      </c>
      <c r="D44" s="136" t="inlineStr">
        <is>
          <t>JAQUETA E CONE 3/8</t>
        </is>
      </c>
      <c r="E44" s="120" t="n">
        <v>0.72</v>
      </c>
      <c r="F44" s="137">
        <f>IF(OR(B44="",E44=""),"",ROUND(B44*E44,2))</f>
        <v/>
      </c>
    </row>
    <row r="45" s="62">
      <c r="A45" s="134" t="inlineStr">
        <is>
          <t>PP19X38X6C18</t>
        </is>
      </c>
      <c r="B45" s="135" t="n">
        <v>50</v>
      </c>
      <c r="C45" s="134" t="inlineStr">
        <is>
          <t>PC</t>
        </is>
      </c>
      <c r="D45" s="136" t="inlineStr">
        <is>
          <t>PERF PERFURADO 19 X 38 X 6 MTS CHAPA 18</t>
        </is>
      </c>
      <c r="E45" s="120" t="n">
        <v>69.3</v>
      </c>
      <c r="F45" s="137">
        <f>IF(OR(B45="",E45=""),"",ROUND(B45*E45,2))</f>
        <v/>
      </c>
    </row>
    <row r="46" s="62">
      <c r="A46" s="134" t="inlineStr">
        <is>
          <t>PP38X38X6C18</t>
        </is>
      </c>
      <c r="B46" s="135" t="n">
        <v>50</v>
      </c>
      <c r="C46" s="134" t="inlineStr">
        <is>
          <t>PC</t>
        </is>
      </c>
      <c r="D46" s="136" t="inlineStr">
        <is>
          <t>PERF PERFURADO 38 X 38 X 6 MTS CHAPA 18</t>
        </is>
      </c>
      <c r="E46" s="120" t="n">
        <v>91</v>
      </c>
      <c r="F46" s="137">
        <f>IF(OR(B46="",E46=""),"",ROUND(B46*E46,2))</f>
        <v/>
      </c>
    </row>
    <row r="47" s="62">
      <c r="A47" s="134" t="inlineStr">
        <is>
          <t>PS1/4</t>
        </is>
      </c>
      <c r="B47" s="135" t="n">
        <v>3000</v>
      </c>
      <c r="C47" s="134" t="inlineStr">
        <is>
          <t>PC</t>
        </is>
      </c>
      <c r="D47" s="136" t="inlineStr">
        <is>
          <t>PORCA SEXTAVADA 1/4</t>
        </is>
      </c>
      <c r="E47" s="120" t="n">
        <v>0.06</v>
      </c>
      <c r="F47" s="137">
        <f>IF(OR(B47="",E47=""),"",ROUND(B47*E47,2))</f>
        <v/>
      </c>
    </row>
    <row r="48" s="62">
      <c r="A48" s="134" t="inlineStr">
        <is>
          <t>PS3/8</t>
        </is>
      </c>
      <c r="B48" s="135" t="n">
        <v>5000</v>
      </c>
      <c r="C48" s="134" t="inlineStr">
        <is>
          <t>PC</t>
        </is>
      </c>
      <c r="D48" s="136" t="inlineStr">
        <is>
          <t>PORCA SEXTAVADA 3/8</t>
        </is>
      </c>
      <c r="E48" s="120" t="n">
        <v>0.11</v>
      </c>
      <c r="F48" s="137">
        <f>IF(OR(B48="",E48=""),"",ROUND(B48*E48,2))</f>
        <v/>
      </c>
    </row>
    <row r="49" s="62">
      <c r="A49" s="134" t="inlineStr">
        <is>
          <t>VRT1/4X3GAL</t>
        </is>
      </c>
      <c r="B49" s="135" t="n">
        <v>200</v>
      </c>
      <c r="C49" s="134" t="inlineStr">
        <is>
          <t>PC</t>
        </is>
      </c>
      <c r="D49" s="136" t="inlineStr">
        <is>
          <t>VERGALHÃO RT 1/4 X 3 MTS GALVANIZADO</t>
        </is>
      </c>
      <c r="E49" s="120" t="n">
        <v>6.1</v>
      </c>
      <c r="F49" s="137">
        <f>IF(OR(B49="",E49=""),"",ROUND(B49*E49,2))</f>
        <v/>
      </c>
    </row>
    <row r="50" s="62">
      <c r="A50" s="134" t="inlineStr">
        <is>
          <t>VRT3/8X3GAL</t>
        </is>
      </c>
      <c r="B50" s="135" t="n">
        <v>300</v>
      </c>
      <c r="C50" s="134" t="inlineStr">
        <is>
          <t>PC</t>
        </is>
      </c>
      <c r="D50" s="136" t="inlineStr">
        <is>
          <t>VERGALHÃO RT 3/8 X 3 MTS GALVANIZADO</t>
        </is>
      </c>
      <c r="E50" s="120" t="n">
        <v>13.5</v>
      </c>
      <c r="F50" s="137">
        <f>IF(OR(B50="",E50=""),"",ROUND(B50*E50,2))</f>
        <v/>
      </c>
    </row>
    <row r="51">
      <c r="A51" s="32" t="n"/>
      <c r="B51" s="26" t="n"/>
      <c r="C51" s="28" t="n"/>
      <c r="D51" s="29" t="n"/>
      <c r="E51" s="122" t="n"/>
      <c r="F51" s="123" t="n"/>
      <c r="H51" s="1" t="n"/>
    </row>
    <row r="52">
      <c r="A52" s="124" t="inlineStr">
        <is>
          <t>OBS: Pedido mínimo R$ 300,00. Trocas em até 60 dias às terças ou quintas-feiras. Preços válidos para materiais em estoque, consultar vendedor antes de fechar.</t>
        </is>
      </c>
      <c r="B52" s="13" t="n"/>
      <c r="C52" s="13" t="n"/>
      <c r="D52" s="98" t="n"/>
      <c r="E52" s="125" t="inlineStr">
        <is>
          <t>SUB TOTAL</t>
        </is>
      </c>
      <c r="F52" s="126" t="n">
        <v>21690</v>
      </c>
      <c r="H52" s="1" t="n"/>
    </row>
    <row r="53">
      <c r="D53" s="66" t="n"/>
      <c r="E53" s="127" t="inlineStr">
        <is>
          <t>FRETE</t>
        </is>
      </c>
      <c r="F53" s="128" t="n">
        <v>0</v>
      </c>
      <c r="H53" s="1" t="n"/>
    </row>
    <row r="54">
      <c r="D54" s="66" t="n"/>
      <c r="E54" s="127" t="inlineStr">
        <is>
          <t>DESCONTO</t>
        </is>
      </c>
      <c r="F54" s="128" t="n">
        <v>0</v>
      </c>
      <c r="H54" s="1" t="n"/>
    </row>
    <row r="55">
      <c r="A55" s="129" t="n"/>
      <c r="B55" s="129" t="n"/>
      <c r="C55" s="129" t="n"/>
      <c r="D55" s="130" t="n"/>
      <c r="E55" s="131" t="inlineStr">
        <is>
          <t>TOTAL GERAL</t>
        </is>
      </c>
      <c r="F55" s="132" t="n">
        <v>21690</v>
      </c>
      <c r="H55" s="1" t="n"/>
    </row>
    <row r="56">
      <c r="A56" s="13" t="n"/>
      <c r="F56" s="133" t="n"/>
      <c r="H56" s="1" t="n"/>
    </row>
    <row r="57">
      <c r="H57" s="1" t="n"/>
    </row>
    <row r="58">
      <c r="H58" s="1" t="n"/>
    </row>
    <row r="59">
      <c r="H59" s="1" t="n"/>
    </row>
    <row r="60">
      <c r="H60" s="1" t="n"/>
    </row>
    <row r="61">
      <c r="H61" s="1" t="n"/>
    </row>
    <row r="62">
      <c r="H62" s="1" t="n"/>
    </row>
    <row r="63">
      <c r="H63" s="1" t="n"/>
    </row>
    <row r="64">
      <c r="H64" s="1" t="n"/>
    </row>
    <row r="65">
      <c r="H65" s="1" t="n"/>
    </row>
    <row r="66">
      <c r="H66" s="1" t="n"/>
    </row>
    <row r="67">
      <c r="H67" s="1" t="n"/>
    </row>
    <row r="68">
      <c r="H68" s="1" t="n"/>
    </row>
    <row r="69">
      <c r="H69" s="1" t="n"/>
    </row>
    <row r="70">
      <c r="H70" s="1" t="n"/>
    </row>
    <row r="71">
      <c r="H71" s="1" t="n"/>
    </row>
    <row r="72">
      <c r="H72" s="1" t="n"/>
    </row>
    <row r="73">
      <c r="H73" s="1" t="n"/>
    </row>
    <row r="74">
      <c r="H74" s="1" t="n"/>
    </row>
    <row r="75">
      <c r="H75" s="1" t="n"/>
    </row>
    <row r="76">
      <c r="H76" s="1" t="n"/>
    </row>
    <row r="102">
      <c r="G102" s="2" t="n"/>
    </row>
    <row r="103">
      <c r="G103" s="2" t="n"/>
    </row>
    <row r="104">
      <c r="G104" s="2" t="n"/>
    </row>
    <row r="105">
      <c r="G105" s="2" t="n"/>
    </row>
    <row r="106">
      <c r="G106" s="2" t="n"/>
    </row>
    <row r="107">
      <c r="G107" s="2" t="n"/>
    </row>
    <row r="108">
      <c r="G108" s="2" t="n"/>
    </row>
    <row r="109">
      <c r="G109" s="2" t="n"/>
    </row>
    <row r="110">
      <c r="G110" s="2" t="n"/>
    </row>
    <row r="111">
      <c r="G111" s="2" t="n"/>
    </row>
    <row r="112">
      <c r="G112" s="2" t="n"/>
    </row>
    <row r="113">
      <c r="G113" s="2" t="n"/>
    </row>
    <row r="114">
      <c r="G114" s="2" t="n"/>
    </row>
    <row r="115">
      <c r="G115" s="2" t="n"/>
    </row>
    <row r="116">
      <c r="G116" s="2" t="n"/>
    </row>
    <row r="117">
      <c r="G117" s="2" t="n"/>
    </row>
    <row r="118">
      <c r="G118" s="2" t="n"/>
    </row>
    <row r="119">
      <c r="G119" s="2" t="n"/>
    </row>
    <row r="120">
      <c r="G120" s="2" t="n"/>
    </row>
    <row r="121">
      <c r="G121" s="2" t="n"/>
    </row>
    <row r="154">
      <c r="H154" s="2" t="n"/>
    </row>
    <row r="155">
      <c r="H155" s="2" t="n"/>
    </row>
  </sheetData>
  <mergeCells count="46">
    <mergeCell ref="A52:D55"/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9:C9"/>
    <mergeCell ref="A15:C15"/>
    <mergeCell ref="D10:F10"/>
    <mergeCell ref="D19:F19"/>
    <mergeCell ref="A11:C11"/>
    <mergeCell ref="A1:F1"/>
    <mergeCell ref="A6:C6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2026-05-21T21:48:32Z</dcterms:created>
  <dcterms:modified xmlns:dcterms="http://purl.org/dc/terms/" xmlns:xsi="http://www.w3.org/2001/XMLSchema-instance" xsi:type="dcterms:W3CDTF">2026-06-23T13:48:08Z</dcterms:modified>
  <cp:lastModifiedBy>Felipe Barcelos</cp:lastModifiedBy>
</cp:coreProperties>
</file>