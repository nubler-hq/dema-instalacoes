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felipebarcelospro/Sandbox/nubler/dema-instalacoes/.fractal/artifacts/docs/projects/wise/requests/"/>
    </mc:Choice>
  </mc:AlternateContent>
  <xr:revisionPtr revIDLastSave="0" documentId="8_{08930503-E026-044F-8FF5-4F9BE4FE11D2}" xr6:coauthVersionLast="47" xr6:coauthVersionMax="47" xr10:uidLastSave="{00000000-0000-0000-0000-000000000000}"/>
  <bookViews>
    <workbookView xWindow="0" yWindow="600" windowWidth="76800" windowHeight="41020" xr2:uid="{00000000-000D-0000-FFFF-FFFF00000000}"/>
  </bookViews>
  <sheets>
    <sheet name="PEDIDO 2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" i="1" l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40" i="1"/>
  <c r="F39" i="1"/>
  <c r="F38" i="1"/>
  <c r="F37" i="1"/>
  <c r="F36" i="1"/>
  <c r="F35" i="1"/>
  <c r="F34" i="1"/>
  <c r="F33" i="1"/>
  <c r="F32" i="1"/>
  <c r="F31" i="1"/>
  <c r="F30" i="1"/>
  <c r="F110" i="1" s="1"/>
  <c r="F113" i="1" s="1"/>
</calcChain>
</file>

<file path=xl/sharedStrings.xml><?xml version="1.0" encoding="utf-8"?>
<sst xmlns="http://schemas.openxmlformats.org/spreadsheetml/2006/main" count="77" uniqueCount="67">
  <si>
    <t>DEMA INST. ELÉTRICAS, HIDRÁULICAS E MANUTENÇÕES LTDA.</t>
  </si>
  <si>
    <t>AV. BRIGADEIRO LUÍS ANTÔNIO, 3097 - Sala 907 - JD. PAULISTA, SÃO PAULO - SP</t>
  </si>
  <si>
    <t>PEDIDO INTERNO:</t>
  </si>
  <si>
    <t xml:space="preserve">Data: </t>
  </si>
  <si>
    <t>Fornecedor:</t>
  </si>
  <si>
    <t xml:space="preserve">CNPJ: </t>
  </si>
  <si>
    <t>Inscrição Estadual:</t>
  </si>
  <si>
    <t>End.:</t>
  </si>
  <si>
    <t>CEP:</t>
  </si>
  <si>
    <t>Tel/Contato/e mail:</t>
  </si>
  <si>
    <t>Condições de Pgto.:</t>
  </si>
  <si>
    <t>Faturamento:</t>
  </si>
  <si>
    <t xml:space="preserve">Inscrição Estadual: </t>
  </si>
  <si>
    <t xml:space="preserve">End.: </t>
  </si>
  <si>
    <t xml:space="preserve">CEP:  </t>
  </si>
  <si>
    <t>Telefone:</t>
  </si>
  <si>
    <t>Cobrança:</t>
  </si>
  <si>
    <t>Prazo de entrega:</t>
  </si>
  <si>
    <t>Faturamento</t>
  </si>
  <si>
    <t>Local de entrega:</t>
  </si>
  <si>
    <t>Horário para Entrega:</t>
  </si>
  <si>
    <t>NÃO SERÁ ACEITO EM HIPOTESE NENHUMA NEGOCIAÇÃO DE TÍTULOS CONTRA TERCEIROS</t>
  </si>
  <si>
    <t>ITEM</t>
  </si>
  <si>
    <t>QTDE</t>
  </si>
  <si>
    <t>UNID.</t>
  </si>
  <si>
    <t>DESCRIÇÃO</t>
  </si>
  <si>
    <t xml:space="preserve">UNIT </t>
  </si>
  <si>
    <t>TOTAL</t>
  </si>
  <si>
    <t>PEDIDO DE COMPRA N° 06 - HIDRÁULICA - WISE CLEMENTINO</t>
  </si>
  <si>
    <t>ORÇAMENTO 844.448 - FF GUARULHOS</t>
  </si>
  <si>
    <t>21/05/2026</t>
  </si>
  <si>
    <t>FF GUARULHOS</t>
  </si>
  <si>
    <t>07.716.473/0001-39</t>
  </si>
  <si>
    <t>ISENTO</t>
  </si>
  <si>
    <t>AV. SETE DE SETEMBRO, 2018 - VILA GALVÃO - GUARULHOS/SP</t>
  </si>
  <si>
    <t>07064-002</t>
  </si>
  <si>
    <t>JOSELUIZ - Tel.: (11) 2453-6845 / Fax: (11) 2453-6840 / joseluiz@ffguarulhos.com.br</t>
  </si>
  <si>
    <t>28 DDL</t>
  </si>
  <si>
    <t>Wise Clementino / SMG-22 Empreendimentos Imobiliários SPE LTDA</t>
  </si>
  <si>
    <t>48.868.032/0001-30</t>
  </si>
  <si>
    <t>ISENTA</t>
  </si>
  <si>
    <t>Rua Desembargador Eliseu Guilherme, 292 - Paraíso - São Paulo/SP</t>
  </si>
  <si>
    <t>04024-020</t>
  </si>
  <si>
    <t>(11) 3045-6800</t>
  </si>
  <si>
    <t>BOLETO: adm.obra144@cgsengenharia.com.br; eng.obra144@cgsengenharia.com.br</t>
  </si>
  <si>
    <t>Itens de estoque em até 2 dias para a Grande São Paulo após confirmação do pedido.</t>
  </si>
  <si>
    <t>Não emitir nota fiscal após o dia 25</t>
  </si>
  <si>
    <t>Rua Guapiaçu, 75 e Rua Joaquim de Almeida, 230 - Mirandópolis - São Paulo/SP - CEP 04024-020</t>
  </si>
  <si>
    <t>8:00 HS AS 11:00 HS E DAS 13:00 HS AS 16:00 HS</t>
  </si>
  <si>
    <t>TB</t>
  </si>
  <si>
    <t>TUBO SOLD 110 MM 6MT - AMANCO</t>
  </si>
  <si>
    <t>PC</t>
  </si>
  <si>
    <t>JOELHO SOLD 90 110MM - AMANCO</t>
  </si>
  <si>
    <t>TUBO SERIE R DN 100 6MT - AMANCO</t>
  </si>
  <si>
    <t>TUBO SERIE R DN 150 6MT - AMANCO</t>
  </si>
  <si>
    <t>TUBO SERIE R DN 75 6MT - AMANCO</t>
  </si>
  <si>
    <t>JOELHO ESG 90 DN 75 SR - AMANCO</t>
  </si>
  <si>
    <t>JOELHO ESG 90 DN100 SR - AMANCO</t>
  </si>
  <si>
    <t>JOELHO ESG 90 DN150 SR - AMANCO</t>
  </si>
  <si>
    <t>LUVA ESG SIMP DN100 SR - AMANCO</t>
  </si>
  <si>
    <t>LUVA ESG SIMP DN150 SR - AMANCO</t>
  </si>
  <si>
    <t>LUVA ESG SIMP DN 75 SR - AMANCO</t>
  </si>
  <si>
    <t>OBS: Pedido mínimo R$ 300,00. Trocas em até 60 dias às terças ou quintas-feiras. Preços válidos para materiais em estoque, consultar vendedor antes de fechar.</t>
  </si>
  <si>
    <t>SUB TOTAL</t>
  </si>
  <si>
    <t>FRETE</t>
  </si>
  <si>
    <t>DESCONTO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</si>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</sst>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6" formatCode="\R\$\ #,##0.00000"/>
    <numFmt numFmtId="167" formatCode="\R\$\ #,##0.00"/>
    <numFmt numFmtId="168" formatCode="&quot;R$&quot;\ #,##0.00000"/>
    <numFmt numFmtId="169" formatCode="&quot;R$&quot;\ #,##0.00"/>
  </numFmts>
  <fonts count="1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indexed="8"/>
      <name val="Verdana"/>
      <family val="2"/>
    </font>
    <font>
      <b/>
      <sz val="10"/>
      <name val="Verdana"/>
      <family val="2"/>
    </font>
    <font>
      <b/>
      <i/>
      <sz val="9"/>
      <name val="Verdana"/>
      <family val="2"/>
    </font>
    <font>
      <sz val="8"/>
      <name val="Arial"/>
      <family val="2"/>
    </font>
    <font>
      <sz val="11"/>
      <color theme="1"/>
      <name val="Calibri"/>
      <family val="2"/>
    </font>
    <font>
      <b/>
      <sz val="10"/>
      <color rgb="FF333333"/>
      <name val="Times New Roman"/>
      <family val="1"/>
    </font>
    <font>
      <sz val="10"/>
      <color rgb="FF333333"/>
      <name val="Times New Roman"/>
      <family val="1"/>
    </font>
    <font>
      <sz val="10"/>
      <name val="Arial"/>
      <family val="2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9"/>
      <color indexed="8"/>
      <name val="Verdana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9">
    <xf numFmtId="0" fontId="0" fillId="0" borderId="0"/>
    <xf numFmtId="44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43" fontId="9" fillId="0" borderId="0"/>
    <xf numFmtId="44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43" fontId="9" fillId="0" borderId="0"/>
    <xf numFmtId="44" fontId="12" fillId="0" borderId="0"/>
    <xf numFmtId="0" fontId="9" fillId="0" borderId="0"/>
    <xf numFmtId="44" fontId="12" fillId="0" borderId="0"/>
    <xf numFmtId="0" fontId="9" fillId="0" borderId="0"/>
    <xf numFmtId="0" fontId="9" fillId="0" borderId="0"/>
    <xf numFmtId="43" fontId="9" fillId="0" borderId="0"/>
  </cellStyleXfs>
  <cellXfs count="118">
    <xf numFmtId="0" fontId="0" fillId="0" borderId="0" xfId="0"/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6" fillId="0" borderId="5" xfId="0" applyFont="1" applyBorder="1"/>
    <xf numFmtId="0" fontId="6" fillId="0" borderId="6" xfId="0" applyFont="1" applyBorder="1"/>
    <xf numFmtId="44" fontId="1" fillId="0" borderId="0" xfId="1" applyFont="1"/>
    <xf numFmtId="0" fontId="6" fillId="0" borderId="8" xfId="0" applyFont="1" applyBorder="1"/>
    <xf numFmtId="44" fontId="1" fillId="0" borderId="6" xfId="1" applyFont="1" applyBorder="1" applyAlignment="1">
      <alignment horizontal="left"/>
    </xf>
    <xf numFmtId="14" fontId="6" fillId="0" borderId="6" xfId="0" applyNumberFormat="1" applyFont="1" applyBorder="1" applyAlignment="1">
      <alignment horizontal="left"/>
    </xf>
    <xf numFmtId="14" fontId="6" fillId="0" borderId="8" xfId="0" applyNumberFormat="1" applyFont="1" applyBorder="1" applyAlignment="1">
      <alignment horizontal="left"/>
    </xf>
    <xf numFmtId="0" fontId="13" fillId="2" borderId="12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left"/>
    </xf>
    <xf numFmtId="0" fontId="13" fillId="2" borderId="14" xfId="0" applyFont="1" applyFill="1" applyBorder="1"/>
    <xf numFmtId="0" fontId="8" fillId="0" borderId="18" xfId="0" applyFont="1" applyBorder="1" applyAlignment="1">
      <alignment horizontal="center"/>
    </xf>
    <xf numFmtId="0" fontId="8" fillId="0" borderId="18" xfId="0" applyFont="1" applyBorder="1"/>
    <xf numFmtId="0" fontId="8" fillId="0" borderId="12" xfId="0" applyFont="1" applyBorder="1" applyAlignment="1">
      <alignment horizontal="center"/>
    </xf>
    <xf numFmtId="0" fontId="8" fillId="0" borderId="12" xfId="0" applyFont="1" applyBorder="1"/>
    <xf numFmtId="44" fontId="0" fillId="0" borderId="0" xfId="0" applyNumberFormat="1"/>
    <xf numFmtId="0" fontId="0" fillId="0" borderId="20" xfId="0" applyBorder="1"/>
    <xf numFmtId="0" fontId="0" fillId="0" borderId="24" xfId="0" applyBorder="1"/>
    <xf numFmtId="0" fontId="8" fillId="0" borderId="34" xfId="0" applyFont="1" applyBorder="1" applyAlignment="1">
      <alignment horizontal="center"/>
    </xf>
    <xf numFmtId="166" fontId="13" fillId="2" borderId="12" xfId="0" applyNumberFormat="1" applyFont="1" applyFill="1" applyBorder="1"/>
    <xf numFmtId="2" fontId="8" fillId="0" borderId="12" xfId="0" applyNumberFormat="1" applyFont="1" applyBorder="1" applyAlignment="1">
      <alignment horizontal="center"/>
    </xf>
    <xf numFmtId="2" fontId="13" fillId="2" borderId="12" xfId="0" applyNumberFormat="1" applyFont="1" applyFill="1" applyBorder="1" applyAlignment="1">
      <alignment horizontal="center"/>
    </xf>
    <xf numFmtId="4" fontId="8" fillId="0" borderId="18" xfId="0" applyNumberFormat="1" applyFont="1" applyBorder="1" applyAlignment="1">
      <alignment horizontal="center"/>
    </xf>
    <xf numFmtId="4" fontId="8" fillId="0" borderId="12" xfId="0" applyNumberFormat="1" applyFont="1" applyBorder="1" applyAlignment="1">
      <alignment horizontal="center"/>
    </xf>
    <xf numFmtId="168" fontId="13" fillId="2" borderId="12" xfId="0" applyNumberFormat="1" applyFont="1" applyFill="1" applyBorder="1" applyAlignment="1">
      <alignment horizontal="left"/>
    </xf>
    <xf numFmtId="0" fontId="16" fillId="0" borderId="1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0" fillId="0" borderId="2" xfId="0" applyBorder="1"/>
    <xf numFmtId="0" fontId="0" fillId="0" borderId="9" xfId="0" applyBorder="1"/>
    <xf numFmtId="0" fontId="5" fillId="0" borderId="7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44" fontId="1" fillId="0" borderId="0" xfId="1" applyFont="1"/>
    <xf numFmtId="0" fontId="0" fillId="0" borderId="11" xfId="0" applyBorder="1"/>
    <xf numFmtId="0" fontId="5" fillId="0" borderId="1" xfId="0" applyFont="1" applyBorder="1" applyAlignment="1">
      <alignment horizontal="left"/>
    </xf>
    <xf numFmtId="0" fontId="0" fillId="0" borderId="0" xfId="0"/>
    <xf numFmtId="0" fontId="6" fillId="0" borderId="15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0" fillId="0" borderId="4" xfId="0" applyBorder="1"/>
    <xf numFmtId="0" fontId="0" fillId="0" borderId="10" xfId="0" applyBorder="1"/>
    <xf numFmtId="0" fontId="7" fillId="0" borderId="16" xfId="0" applyFont="1" applyBorder="1" applyAlignment="1">
      <alignment horizontal="center"/>
    </xf>
    <xf numFmtId="14" fontId="5" fillId="0" borderId="9" xfId="0" applyNumberFormat="1" applyFont="1" applyBorder="1" applyAlignment="1">
      <alignment horizontal="left"/>
    </xf>
    <xf numFmtId="14" fontId="6" fillId="0" borderId="17" xfId="0" applyNumberFormat="1" applyFont="1" applyBorder="1" applyAlignment="1">
      <alignment horizontal="left"/>
    </xf>
    <xf numFmtId="0" fontId="0" fillId="0" borderId="6" xfId="0" applyBorder="1"/>
    <xf numFmtId="0" fontId="0" fillId="0" borderId="8" xfId="0" applyBorder="1"/>
    <xf numFmtId="0" fontId="5" fillId="0" borderId="3" xfId="0" applyFont="1" applyBorder="1" applyAlignment="1">
      <alignment horizontal="left"/>
    </xf>
    <xf numFmtId="0" fontId="3" fillId="0" borderId="17" xfId="0" applyFont="1" applyBorder="1" applyAlignment="1">
      <alignment horizontal="center"/>
    </xf>
    <xf numFmtId="3" fontId="6" fillId="0" borderId="11" xfId="0" applyNumberFormat="1" applyFont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5" fillId="0" borderId="11" xfId="0" applyFont="1" applyBorder="1"/>
    <xf numFmtId="0" fontId="6" fillId="0" borderId="17" xfId="0" applyFont="1" applyBorder="1" applyAlignment="1">
      <alignment horizontal="left"/>
    </xf>
    <xf numFmtId="0" fontId="6" fillId="0" borderId="33" xfId="0" applyFont="1" applyBorder="1" applyAlignment="1">
      <alignment horizontal="left"/>
    </xf>
    <xf numFmtId="44" fontId="1" fillId="0" borderId="20" xfId="1" applyFont="1" applyBorder="1"/>
    <xf numFmtId="0" fontId="0" fillId="0" borderId="26" xfId="0" applyBorder="1"/>
    <xf numFmtId="168" fontId="13" fillId="2" borderId="34" xfId="0" applyNumberFormat="1" applyFont="1" applyFill="1" applyBorder="1" applyAlignment="1">
      <alignment horizontal="left"/>
    </xf>
    <xf numFmtId="44" fontId="16" fillId="0" borderId="35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169" fontId="8" fillId="2" borderId="36" xfId="0" applyNumberFormat="1" applyFont="1" applyFill="1" applyBorder="1" applyAlignment="1">
      <alignment horizontal="left"/>
    </xf>
    <xf numFmtId="169" fontId="8" fillId="2" borderId="37" xfId="0" applyNumberFormat="1" applyFont="1" applyFill="1" applyBorder="1" applyAlignment="1">
      <alignment horizontal="left"/>
    </xf>
    <xf numFmtId="169" fontId="8" fillId="2" borderId="38" xfId="0" applyNumberFormat="1" applyFont="1" applyFill="1" applyBorder="1" applyAlignment="1">
      <alignment horizontal="left"/>
    </xf>
    <xf numFmtId="0" fontId="0" fillId="0" borderId="27" xfId="0" applyBorder="1"/>
    <xf numFmtId="169" fontId="8" fillId="2" borderId="39" xfId="0" applyNumberFormat="1" applyFont="1" applyFill="1" applyBorder="1" applyAlignment="1">
      <alignment horizontal="left"/>
    </xf>
    <xf numFmtId="167" fontId="8" fillId="2" borderId="37" xfId="0" applyNumberFormat="1" applyFont="1" applyFill="1" applyBorder="1" applyAlignment="1">
      <alignment horizontal="left"/>
    </xf>
    <xf numFmtId="167" fontId="8" fillId="2" borderId="36" xfId="0" applyNumberFormat="1" applyFont="1" applyFill="1" applyBorder="1" applyAlignment="1">
      <alignment horizontal="left"/>
    </xf>
    <xf numFmtId="169" fontId="17" fillId="0" borderId="36" xfId="0" applyNumberFormat="1" applyFont="1" applyBorder="1" applyAlignment="1">
      <alignment horizontal="left"/>
    </xf>
    <xf numFmtId="44" fontId="16" fillId="0" borderId="40" xfId="0" applyNumberFormat="1" applyFont="1" applyBorder="1" applyAlignment="1">
      <alignment horizontal="center"/>
    </xf>
    <xf numFmtId="0" fontId="14" fillId="0" borderId="24" xfId="0" applyFont="1" applyBorder="1"/>
    <xf numFmtId="0" fontId="14" fillId="0" borderId="30" xfId="0" applyFont="1" applyBorder="1"/>
    <xf numFmtId="0" fontId="14" fillId="0" borderId="20" xfId="0" applyFont="1" applyBorder="1"/>
    <xf numFmtId="0" fontId="14" fillId="0" borderId="26" xfId="0" applyFont="1" applyBorder="1"/>
    <xf numFmtId="0" fontId="14" fillId="0" borderId="29" xfId="0" applyFont="1" applyBorder="1"/>
    <xf numFmtId="0" fontId="14" fillId="0" borderId="31" xfId="0" applyFont="1" applyBorder="1"/>
    <xf numFmtId="169" fontId="17" fillId="0" borderId="42" xfId="0" applyNumberFormat="1" applyFont="1" applyBorder="1" applyAlignment="1">
      <alignment horizontal="left"/>
    </xf>
    <xf numFmtId="2" fontId="13" fillId="2" borderId="41" xfId="0" applyNumberFormat="1" applyFont="1" applyFill="1" applyBorder="1" applyAlignment="1">
      <alignment horizontal="center"/>
    </xf>
    <xf numFmtId="169" fontId="17" fillId="2" borderId="37" xfId="0" applyNumberFormat="1" applyFont="1" applyFill="1" applyBorder="1" applyAlignment="1">
      <alignment horizontal="left"/>
    </xf>
    <xf numFmtId="0" fontId="13" fillId="2" borderId="41" xfId="0" applyFont="1" applyFill="1" applyBorder="1" applyAlignment="1">
      <alignment horizontal="center"/>
    </xf>
    <xf numFmtId="0" fontId="13" fillId="2" borderId="43" xfId="0" applyFont="1" applyFill="1" applyBorder="1"/>
    <xf numFmtId="166" fontId="13" fillId="2" borderId="41" xfId="0" applyNumberFormat="1" applyFont="1" applyFill="1" applyBorder="1"/>
    <xf numFmtId="167" fontId="8" fillId="2" borderId="42" xfId="0" applyNumberFormat="1" applyFont="1" applyFill="1" applyBorder="1" applyAlignment="1">
      <alignment horizontal="left"/>
    </xf>
    <xf numFmtId="0" fontId="8" fillId="0" borderId="41" xfId="0" applyFont="1" applyBorder="1" applyAlignment="1">
      <alignment horizontal="center"/>
    </xf>
    <xf numFmtId="44" fontId="16" fillId="0" borderId="44" xfId="0" applyNumberFormat="1" applyFont="1" applyBorder="1" applyAlignment="1">
      <alignment horizontal="center"/>
    </xf>
    <xf numFmtId="44" fontId="16" fillId="0" borderId="45" xfId="0" applyNumberFormat="1" applyFont="1" applyBorder="1" applyAlignment="1">
      <alignment horizontal="center"/>
    </xf>
    <xf numFmtId="0" fontId="14" fillId="0" borderId="4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15" fillId="0" borderId="27" xfId="0" applyFont="1" applyBorder="1" applyAlignment="1">
      <alignment horizontal="left"/>
    </xf>
    <xf numFmtId="0" fontId="15" fillId="0" borderId="20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3" fontId="5" fillId="0" borderId="27" xfId="0" applyNumberFormat="1" applyFont="1" applyBorder="1" applyAlignment="1">
      <alignment horizontal="left"/>
    </xf>
    <xf numFmtId="3" fontId="5" fillId="0" borderId="20" xfId="0" applyNumberFormat="1" applyFont="1" applyBorder="1" applyAlignment="1">
      <alignment horizontal="left"/>
    </xf>
    <xf numFmtId="3" fontId="5" fillId="0" borderId="26" xfId="0" applyNumberFormat="1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8" xfId="0" applyFont="1" applyBorder="1" applyAlignment="1">
      <alignment horizontal="left"/>
    </xf>
    <xf numFmtId="0" fontId="6" fillId="0" borderId="29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6" fillId="0" borderId="25" xfId="0" applyFont="1" applyBorder="1" applyAlignment="1">
      <alignment horizontal="left"/>
    </xf>
  </cellXfs>
  <cellStyles count="19">
    <cellStyle name="Moeda" xfId="1" xr:uid="{00000000-0005-0000-0000-000000000000}"/>
    <cellStyle name="Moeda 2" xfId="13" xr:uid="{00000000-0005-0000-0000-000001000000}"/>
    <cellStyle name="Moeda 3" xfId="7" xr:uid="{00000000-0005-0000-0000-000002000000}"/>
    <cellStyle name="Moeda 4" xfId="15" xr:uid="{00000000-0005-0000-0000-000003000000}"/>
    <cellStyle name="Normal" xfId="0" builtinId="0"/>
    <cellStyle name="Normal 2" xfId="2" xr:uid="{00000000-0005-0000-0000-000005000000}"/>
    <cellStyle name="Normal 2 2" xfId="8" xr:uid="{00000000-0005-0000-0000-000006000000}"/>
    <cellStyle name="Normal 3" xfId="3" xr:uid="{00000000-0005-0000-0000-000007000000}"/>
    <cellStyle name="Normal 3 2" xfId="14" xr:uid="{00000000-0005-0000-0000-000008000000}"/>
    <cellStyle name="Normal 3 3" xfId="9" xr:uid="{00000000-0005-0000-0000-000009000000}"/>
    <cellStyle name="Normal 3 4" xfId="16" xr:uid="{00000000-0005-0000-0000-00000A000000}"/>
    <cellStyle name="Normal 4" xfId="4" xr:uid="{00000000-0005-0000-0000-00000B000000}"/>
    <cellStyle name="Normal 4 2" xfId="10" xr:uid="{00000000-0005-0000-0000-00000C000000}"/>
    <cellStyle name="Normal 5" xfId="5" xr:uid="{00000000-0005-0000-0000-00000D000000}"/>
    <cellStyle name="Normal 5 2" xfId="11" xr:uid="{00000000-0005-0000-0000-00000E000000}"/>
    <cellStyle name="Normal 5 3" xfId="17" xr:uid="{00000000-0005-0000-0000-00000F000000}"/>
    <cellStyle name="Vírgula 2" xfId="6" xr:uid="{00000000-0005-0000-0000-000010000000}"/>
    <cellStyle name="Vírgula 2 2" xfId="12" xr:uid="{00000000-0005-0000-0000-000011000000}"/>
    <cellStyle name="Vírgula 2 3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3"/>
  <sheetViews>
    <sheetView tabSelected="1" workbookViewId="0">
      <selection activeCell="I25" sqref="I25"/>
    </sheetView>
  </sheetViews>
  <sheetFormatPr baseColWidth="10" defaultColWidth="8.83203125" defaultRowHeight="13" x14ac:dyDescent="0.15"/>
  <cols>
    <col min="1" max="1" width="5.83203125" customWidth="1"/>
    <col min="2" max="2" width="8.1640625" customWidth="1"/>
    <col min="3" max="3" width="9.1640625" customWidth="1"/>
    <col min="4" max="4" width="49.6640625" customWidth="1"/>
    <col min="5" max="5" width="10" style="5" customWidth="1"/>
    <col min="6" max="6" width="22.6640625" customWidth="1"/>
    <col min="7" max="7" width="17" customWidth="1"/>
    <col min="8" max="8" width="15.1640625" customWidth="1"/>
    <col min="9" max="9" width="16.5" customWidth="1"/>
    <col min="10" max="10" width="17.5" customWidth="1"/>
  </cols>
  <sheetData>
    <row r="1" spans="1:6" ht="23.25" customHeight="1" x14ac:dyDescent="0.2">
      <c r="A1" s="30" t="s">
        <v>0</v>
      </c>
      <c r="B1" s="31"/>
      <c r="C1" s="31"/>
      <c r="D1" s="31"/>
      <c r="E1" s="31"/>
      <c r="F1" s="32"/>
    </row>
    <row r="2" spans="1:6" ht="20.75" customHeight="1" x14ac:dyDescent="0.2">
      <c r="A2" s="52" t="s">
        <v>1</v>
      </c>
      <c r="B2" s="42"/>
      <c r="C2" s="42"/>
      <c r="D2" s="42"/>
      <c r="E2" s="42"/>
      <c r="F2" s="43"/>
    </row>
    <row r="3" spans="1:6" ht="20.75" customHeight="1" x14ac:dyDescent="0.2">
      <c r="A3" s="50" t="s">
        <v>28</v>
      </c>
      <c r="B3" s="47"/>
      <c r="C3" s="47"/>
      <c r="D3" s="47"/>
      <c r="E3" s="47"/>
      <c r="F3" s="48"/>
    </row>
    <row r="4" spans="1:6" ht="18.5" customHeight="1" x14ac:dyDescent="0.15">
      <c r="A4" s="56" t="s">
        <v>2</v>
      </c>
      <c r="B4" s="47"/>
      <c r="C4" s="48"/>
      <c r="D4" s="56" t="s">
        <v>29</v>
      </c>
      <c r="E4" s="47"/>
      <c r="F4" s="48"/>
    </row>
    <row r="5" spans="1:6" ht="18.5" customHeight="1" thickBot="1" x14ac:dyDescent="0.2">
      <c r="A5" s="53" t="s">
        <v>3</v>
      </c>
      <c r="B5" s="47"/>
      <c r="C5" s="48"/>
      <c r="D5" s="45" t="s">
        <v>30</v>
      </c>
      <c r="E5" s="31"/>
      <c r="F5" s="32"/>
    </row>
    <row r="6" spans="1:6" x14ac:dyDescent="0.15">
      <c r="A6" s="33" t="s">
        <v>4</v>
      </c>
      <c r="B6" s="31"/>
      <c r="C6" s="32"/>
      <c r="D6" s="91" t="s">
        <v>31</v>
      </c>
      <c r="E6" s="92"/>
      <c r="F6" s="93"/>
    </row>
    <row r="7" spans="1:6" x14ac:dyDescent="0.15">
      <c r="A7" s="37" t="s">
        <v>5</v>
      </c>
      <c r="B7" s="38"/>
      <c r="C7" s="36"/>
      <c r="D7" s="94" t="s">
        <v>32</v>
      </c>
      <c r="E7" s="95"/>
      <c r="F7" s="96"/>
    </row>
    <row r="8" spans="1:6" x14ac:dyDescent="0.15">
      <c r="A8" s="37" t="s">
        <v>6</v>
      </c>
      <c r="B8" s="38"/>
      <c r="C8" s="36"/>
      <c r="D8" s="97" t="s">
        <v>33</v>
      </c>
      <c r="E8" s="98"/>
      <c r="F8" s="99"/>
    </row>
    <row r="9" spans="1:6" x14ac:dyDescent="0.15">
      <c r="A9" s="37" t="s">
        <v>7</v>
      </c>
      <c r="B9" s="38"/>
      <c r="C9" s="36"/>
      <c r="D9" s="57" t="s">
        <v>34</v>
      </c>
      <c r="E9" s="35"/>
      <c r="F9" s="36"/>
    </row>
    <row r="10" spans="1:6" x14ac:dyDescent="0.15">
      <c r="A10" s="37" t="s">
        <v>8</v>
      </c>
      <c r="B10" s="38"/>
      <c r="C10" s="36"/>
      <c r="D10" s="100" t="s">
        <v>35</v>
      </c>
      <c r="E10" s="101"/>
      <c r="F10" s="102"/>
    </row>
    <row r="11" spans="1:6" x14ac:dyDescent="0.15">
      <c r="A11" s="37" t="s">
        <v>9</v>
      </c>
      <c r="B11" s="38"/>
      <c r="C11" s="36"/>
      <c r="D11" s="100" t="s">
        <v>36</v>
      </c>
      <c r="E11" s="101"/>
      <c r="F11" s="102"/>
    </row>
    <row r="12" spans="1:6" ht="18.5" customHeight="1" thickBot="1" x14ac:dyDescent="0.2">
      <c r="A12" s="49" t="s">
        <v>10</v>
      </c>
      <c r="B12" s="42"/>
      <c r="C12" s="43"/>
      <c r="D12" s="103" t="s">
        <v>37</v>
      </c>
      <c r="E12" s="104"/>
      <c r="F12" s="105"/>
    </row>
    <row r="13" spans="1:6" ht="18.5" customHeight="1" thickBot="1" x14ac:dyDescent="0.2">
      <c r="A13" s="106"/>
      <c r="B13" s="107"/>
      <c r="C13" s="107"/>
      <c r="D13" s="107"/>
      <c r="E13" s="107"/>
      <c r="F13" s="108"/>
    </row>
    <row r="14" spans="1:6" x14ac:dyDescent="0.15">
      <c r="A14" s="55" t="s">
        <v>11</v>
      </c>
      <c r="B14" s="31"/>
      <c r="C14" s="32"/>
      <c r="D14" s="40" t="s">
        <v>38</v>
      </c>
      <c r="E14" s="31"/>
      <c r="F14" s="32"/>
    </row>
    <row r="15" spans="1:6" x14ac:dyDescent="0.15">
      <c r="A15" s="39" t="s">
        <v>5</v>
      </c>
      <c r="B15" s="38"/>
      <c r="C15" s="36"/>
      <c r="D15" s="34" t="s">
        <v>39</v>
      </c>
      <c r="E15" s="35"/>
      <c r="F15" s="36"/>
    </row>
    <row r="16" spans="1:6" x14ac:dyDescent="0.15">
      <c r="A16" s="39" t="s">
        <v>12</v>
      </c>
      <c r="B16" s="38"/>
      <c r="C16" s="36"/>
      <c r="D16" s="51" t="s">
        <v>40</v>
      </c>
      <c r="E16" s="35"/>
      <c r="F16" s="36"/>
    </row>
    <row r="17" spans="1:6" x14ac:dyDescent="0.15">
      <c r="A17" s="39" t="s">
        <v>13</v>
      </c>
      <c r="B17" s="38"/>
      <c r="C17" s="36"/>
      <c r="D17" s="34" t="s">
        <v>41</v>
      </c>
      <c r="E17" s="35"/>
      <c r="F17" s="36"/>
    </row>
    <row r="18" spans="1:6" x14ac:dyDescent="0.15">
      <c r="A18" s="39" t="s">
        <v>14</v>
      </c>
      <c r="B18" s="38"/>
      <c r="C18" s="36"/>
      <c r="D18" s="59" t="s">
        <v>42</v>
      </c>
      <c r="E18" s="60"/>
      <c r="F18" s="61"/>
    </row>
    <row r="19" spans="1:6" ht="18.5" customHeight="1" thickBot="1" x14ac:dyDescent="0.2">
      <c r="A19" s="41" t="s">
        <v>15</v>
      </c>
      <c r="B19" s="42"/>
      <c r="C19" s="43"/>
      <c r="D19" s="112" t="s">
        <v>43</v>
      </c>
      <c r="E19" s="113"/>
      <c r="F19" s="114"/>
    </row>
    <row r="20" spans="1:6" ht="18.5" customHeight="1" thickBot="1" x14ac:dyDescent="0.2">
      <c r="A20" s="109"/>
      <c r="B20" s="110"/>
      <c r="C20" s="110"/>
      <c r="D20" s="110"/>
      <c r="E20" s="110"/>
      <c r="F20" s="111"/>
    </row>
    <row r="21" spans="1:6" ht="18.5" customHeight="1" thickBot="1" x14ac:dyDescent="0.2">
      <c r="A21" s="58" t="s">
        <v>16</v>
      </c>
      <c r="B21" s="47"/>
      <c r="C21" s="48"/>
      <c r="D21" s="34" t="s">
        <v>44</v>
      </c>
      <c r="E21" s="35"/>
      <c r="F21" s="36"/>
    </row>
    <row r="22" spans="1:6" ht="18.5" customHeight="1" thickBot="1" x14ac:dyDescent="0.2">
      <c r="A22" s="115"/>
      <c r="B22" s="116"/>
      <c r="C22" s="116"/>
      <c r="D22" s="116"/>
      <c r="E22" s="116"/>
      <c r="F22" s="117"/>
    </row>
    <row r="23" spans="1:6" ht="18.5" customHeight="1" thickBot="1" x14ac:dyDescent="0.2">
      <c r="A23" s="54" t="s">
        <v>17</v>
      </c>
      <c r="B23" s="47"/>
      <c r="C23" s="47"/>
      <c r="D23" s="46" t="s">
        <v>45</v>
      </c>
      <c r="E23" s="47"/>
      <c r="F23" s="48"/>
    </row>
    <row r="24" spans="1:6" ht="18.5" customHeight="1" x14ac:dyDescent="0.15">
      <c r="A24" s="3" t="s">
        <v>18</v>
      </c>
      <c r="B24" s="4"/>
      <c r="C24" s="4"/>
      <c r="D24" s="8" t="s">
        <v>46</v>
      </c>
      <c r="E24" s="7"/>
      <c r="F24" s="9"/>
    </row>
    <row r="25" spans="1:6" ht="18.5" customHeight="1" thickBot="1" x14ac:dyDescent="0.2">
      <c r="A25" s="3" t="s">
        <v>19</v>
      </c>
      <c r="B25" s="4"/>
      <c r="C25" s="6"/>
      <c r="D25" s="46" t="s">
        <v>47</v>
      </c>
      <c r="E25" s="47"/>
      <c r="F25" s="48"/>
    </row>
    <row r="26" spans="1:6" ht="18.5" customHeight="1" thickBot="1" x14ac:dyDescent="0.2">
      <c r="A26" s="109"/>
      <c r="B26" s="110"/>
      <c r="C26" s="110"/>
      <c r="D26" s="110"/>
      <c r="E26" s="110"/>
      <c r="F26" s="111"/>
    </row>
    <row r="27" spans="1:6" ht="18.5" customHeight="1" thickBot="1" x14ac:dyDescent="0.2">
      <c r="A27" s="58" t="s">
        <v>20</v>
      </c>
      <c r="B27" s="47"/>
      <c r="C27" s="48"/>
      <c r="D27" s="58" t="s">
        <v>48</v>
      </c>
      <c r="E27" s="47"/>
      <c r="F27" s="48"/>
    </row>
    <row r="28" spans="1:6" ht="18.5" customHeight="1" thickBot="1" x14ac:dyDescent="0.2">
      <c r="A28" s="44" t="s">
        <v>21</v>
      </c>
      <c r="B28" s="42"/>
      <c r="C28" s="42"/>
      <c r="D28" s="42"/>
      <c r="E28" s="42"/>
      <c r="F28" s="43"/>
    </row>
    <row r="29" spans="1:6" ht="14" thickBot="1" x14ac:dyDescent="0.2">
      <c r="A29" s="27" t="s">
        <v>22</v>
      </c>
      <c r="B29" s="28" t="s">
        <v>23</v>
      </c>
      <c r="C29" s="64" t="s">
        <v>24</v>
      </c>
      <c r="D29" s="28" t="s">
        <v>25</v>
      </c>
      <c r="E29" s="63" t="s">
        <v>26</v>
      </c>
      <c r="F29" s="29" t="s">
        <v>27</v>
      </c>
    </row>
    <row r="30" spans="1:6" x14ac:dyDescent="0.15">
      <c r="A30" s="13">
        <v>1</v>
      </c>
      <c r="B30" s="24">
        <v>4</v>
      </c>
      <c r="C30" s="20" t="s">
        <v>49</v>
      </c>
      <c r="D30" s="14" t="s">
        <v>50</v>
      </c>
      <c r="E30" s="62">
        <v>587.63250000000005</v>
      </c>
      <c r="F30" s="69">
        <f>ROUND(B30*E30,2)</f>
        <v>2350.5300000000002</v>
      </c>
    </row>
    <row r="31" spans="1:6" x14ac:dyDescent="0.15">
      <c r="A31" s="15">
        <v>2</v>
      </c>
      <c r="B31" s="25">
        <v>4</v>
      </c>
      <c r="C31" s="15" t="s">
        <v>51</v>
      </c>
      <c r="D31" s="16" t="s">
        <v>52</v>
      </c>
      <c r="E31" s="26">
        <v>206.70249999999999</v>
      </c>
      <c r="F31" s="65">
        <f t="shared" ref="F31:F95" si="0">ROUND(B31*E31,2)</f>
        <v>826.81</v>
      </c>
    </row>
    <row r="32" spans="1:6" x14ac:dyDescent="0.15">
      <c r="A32" s="13">
        <v>3</v>
      </c>
      <c r="B32" s="25">
        <v>20</v>
      </c>
      <c r="C32" s="15" t="s">
        <v>49</v>
      </c>
      <c r="D32" s="16" t="s">
        <v>53</v>
      </c>
      <c r="E32" s="26">
        <v>129.55549999999999</v>
      </c>
      <c r="F32" s="66">
        <f t="shared" si="0"/>
        <v>2591.11</v>
      </c>
    </row>
    <row r="33" spans="1:7" x14ac:dyDescent="0.15">
      <c r="A33" s="15">
        <v>4</v>
      </c>
      <c r="B33" s="25">
        <v>10</v>
      </c>
      <c r="C33" s="15" t="s">
        <v>49</v>
      </c>
      <c r="D33" s="16" t="s">
        <v>54</v>
      </c>
      <c r="E33" s="26">
        <v>260.54599999999999</v>
      </c>
      <c r="F33" s="66">
        <f t="shared" si="0"/>
        <v>2605.46</v>
      </c>
    </row>
    <row r="34" spans="1:7" x14ac:dyDescent="0.15">
      <c r="A34" s="13">
        <v>5</v>
      </c>
      <c r="B34" s="25">
        <v>10</v>
      </c>
      <c r="C34" s="15" t="s">
        <v>49</v>
      </c>
      <c r="D34" s="16" t="s">
        <v>55</v>
      </c>
      <c r="E34" s="26">
        <v>90.581000000000003</v>
      </c>
      <c r="F34" s="65">
        <f t="shared" si="0"/>
        <v>905.81</v>
      </c>
    </row>
    <row r="35" spans="1:7" x14ac:dyDescent="0.15">
      <c r="A35" s="15">
        <v>6</v>
      </c>
      <c r="B35" s="25">
        <v>15</v>
      </c>
      <c r="C35" s="15" t="s">
        <v>51</v>
      </c>
      <c r="D35" s="16" t="s">
        <v>56</v>
      </c>
      <c r="E35" s="26">
        <v>11.494</v>
      </c>
      <c r="F35" s="67">
        <f t="shared" si="0"/>
        <v>172.41</v>
      </c>
      <c r="G35" s="68"/>
    </row>
    <row r="36" spans="1:7" x14ac:dyDescent="0.15">
      <c r="A36" s="13">
        <v>7</v>
      </c>
      <c r="B36" s="25">
        <v>10</v>
      </c>
      <c r="C36" s="15" t="s">
        <v>51</v>
      </c>
      <c r="D36" s="16" t="s">
        <v>57</v>
      </c>
      <c r="E36" s="26">
        <v>13.034000000000001</v>
      </c>
      <c r="F36" s="65">
        <f t="shared" si="0"/>
        <v>130.34</v>
      </c>
      <c r="G36" s="18"/>
    </row>
    <row r="37" spans="1:7" x14ac:dyDescent="0.15">
      <c r="A37" s="15">
        <v>8</v>
      </c>
      <c r="B37" s="25">
        <v>10</v>
      </c>
      <c r="C37" s="15" t="s">
        <v>51</v>
      </c>
      <c r="D37" s="16" t="s">
        <v>58</v>
      </c>
      <c r="E37" s="26">
        <v>52.71</v>
      </c>
      <c r="F37" s="66">
        <f t="shared" si="0"/>
        <v>527.1</v>
      </c>
      <c r="G37" s="18"/>
    </row>
    <row r="38" spans="1:7" x14ac:dyDescent="0.15">
      <c r="A38" s="13">
        <v>9</v>
      </c>
      <c r="B38" s="25">
        <v>50</v>
      </c>
      <c r="C38" s="15" t="s">
        <v>51</v>
      </c>
      <c r="D38" s="16" t="s">
        <v>59</v>
      </c>
      <c r="E38" s="26">
        <v>9.1647999999999996</v>
      </c>
      <c r="F38" s="66">
        <f t="shared" si="0"/>
        <v>458.24</v>
      </c>
      <c r="G38" s="18"/>
    </row>
    <row r="39" spans="1:7" x14ac:dyDescent="0.15">
      <c r="A39" s="15">
        <v>10</v>
      </c>
      <c r="B39" s="25">
        <v>30</v>
      </c>
      <c r="C39" s="15" t="s">
        <v>51</v>
      </c>
      <c r="D39" s="16" t="s">
        <v>60</v>
      </c>
      <c r="E39" s="26">
        <v>25.100999999999999</v>
      </c>
      <c r="F39" s="66">
        <f t="shared" si="0"/>
        <v>753.03</v>
      </c>
      <c r="G39" s="18"/>
    </row>
    <row r="40" spans="1:7" x14ac:dyDescent="0.15">
      <c r="A40" s="13">
        <v>11</v>
      </c>
      <c r="B40" s="25">
        <v>30</v>
      </c>
      <c r="C40" s="15" t="s">
        <v>51</v>
      </c>
      <c r="D40" s="16" t="s">
        <v>61</v>
      </c>
      <c r="E40" s="26">
        <v>7.7516699999999998</v>
      </c>
      <c r="F40" s="65">
        <f t="shared" si="0"/>
        <v>232.55</v>
      </c>
    </row>
    <row r="41" spans="1:7" x14ac:dyDescent="0.15">
      <c r="A41" s="15"/>
      <c r="B41" s="22"/>
      <c r="C41" s="15"/>
      <c r="D41" s="16"/>
      <c r="E41" s="21"/>
      <c r="F41" s="70"/>
    </row>
    <row r="42" spans="1:7" x14ac:dyDescent="0.15">
      <c r="A42" s="13"/>
      <c r="B42" s="22"/>
      <c r="C42" s="15"/>
      <c r="D42" s="16"/>
      <c r="E42" s="21"/>
      <c r="F42" s="70"/>
    </row>
    <row r="43" spans="1:7" x14ac:dyDescent="0.15">
      <c r="A43" s="15"/>
      <c r="B43" s="22"/>
      <c r="C43" s="15"/>
      <c r="D43" s="16"/>
      <c r="E43" s="21"/>
      <c r="F43" s="70"/>
    </row>
    <row r="44" spans="1:7" x14ac:dyDescent="0.15">
      <c r="A44" s="13"/>
      <c r="B44" s="22"/>
      <c r="C44" s="15"/>
      <c r="D44" s="16"/>
      <c r="E44" s="21"/>
      <c r="F44" s="71"/>
    </row>
    <row r="45" spans="1:7" x14ac:dyDescent="0.15">
      <c r="A45" s="15"/>
      <c r="B45" s="22"/>
      <c r="C45" s="15"/>
      <c r="D45" s="16"/>
      <c r="E45" s="21"/>
      <c r="F45" s="70"/>
    </row>
    <row r="46" spans="1:7" x14ac:dyDescent="0.15">
      <c r="A46" s="13"/>
      <c r="B46" s="22"/>
      <c r="C46" s="15"/>
      <c r="D46" s="16"/>
      <c r="E46" s="21"/>
      <c r="F46" s="70"/>
    </row>
    <row r="47" spans="1:7" x14ac:dyDescent="0.15">
      <c r="A47" s="15"/>
      <c r="B47" s="22"/>
      <c r="C47" s="15"/>
      <c r="D47" s="16"/>
      <c r="E47" s="21"/>
      <c r="F47" s="70"/>
    </row>
    <row r="48" spans="1:7" x14ac:dyDescent="0.15">
      <c r="A48" s="13"/>
      <c r="B48" s="22"/>
      <c r="C48" s="15"/>
      <c r="D48" s="16"/>
      <c r="E48" s="21"/>
      <c r="F48" s="70"/>
    </row>
    <row r="49" spans="1:6" x14ac:dyDescent="0.15">
      <c r="A49" s="15"/>
      <c r="B49" s="22"/>
      <c r="C49" s="15"/>
      <c r="D49" s="16"/>
      <c r="E49" s="21"/>
      <c r="F49" s="70"/>
    </row>
    <row r="50" spans="1:6" x14ac:dyDescent="0.15">
      <c r="A50" s="13"/>
      <c r="B50" s="22"/>
      <c r="C50" s="15"/>
      <c r="D50" s="16"/>
      <c r="E50" s="21"/>
      <c r="F50" s="70"/>
    </row>
    <row r="51" spans="1:6" x14ac:dyDescent="0.15">
      <c r="A51" s="15"/>
      <c r="B51" s="22"/>
      <c r="C51" s="15"/>
      <c r="D51" s="16"/>
      <c r="E51" s="21"/>
      <c r="F51" s="70"/>
    </row>
    <row r="52" spans="1:6" x14ac:dyDescent="0.15">
      <c r="A52" s="13"/>
      <c r="B52" s="22"/>
      <c r="C52" s="15"/>
      <c r="D52" s="16"/>
      <c r="E52" s="21"/>
      <c r="F52" s="70"/>
    </row>
    <row r="53" spans="1:6" x14ac:dyDescent="0.15">
      <c r="A53" s="15"/>
      <c r="B53" s="22"/>
      <c r="C53" s="15"/>
      <c r="D53" s="16"/>
      <c r="E53" s="21"/>
      <c r="F53" s="70"/>
    </row>
    <row r="54" spans="1:6" x14ac:dyDescent="0.15">
      <c r="A54" s="13"/>
      <c r="B54" s="22"/>
      <c r="C54" s="15"/>
      <c r="D54" s="16"/>
      <c r="E54" s="21"/>
      <c r="F54" s="70"/>
    </row>
    <row r="55" spans="1:6" x14ac:dyDescent="0.15">
      <c r="A55" s="15"/>
      <c r="B55" s="22"/>
      <c r="C55" s="15"/>
      <c r="D55" s="16"/>
      <c r="E55" s="21"/>
      <c r="F55" s="71"/>
    </row>
    <row r="56" spans="1:6" x14ac:dyDescent="0.15">
      <c r="A56" s="13"/>
      <c r="B56" s="22"/>
      <c r="C56" s="15"/>
      <c r="D56" s="16"/>
      <c r="E56" s="21"/>
      <c r="F56" s="70"/>
    </row>
    <row r="57" spans="1:6" x14ac:dyDescent="0.15">
      <c r="A57" s="15"/>
      <c r="B57" s="22"/>
      <c r="C57" s="15"/>
      <c r="D57" s="16"/>
      <c r="E57" s="21"/>
      <c r="F57" s="70"/>
    </row>
    <row r="58" spans="1:6" x14ac:dyDescent="0.15">
      <c r="A58" s="13"/>
      <c r="B58" s="22"/>
      <c r="C58" s="15"/>
      <c r="D58" s="16"/>
      <c r="E58" s="21"/>
      <c r="F58" s="70"/>
    </row>
    <row r="59" spans="1:6" x14ac:dyDescent="0.15">
      <c r="A59" s="15"/>
      <c r="B59" s="22"/>
      <c r="C59" s="15"/>
      <c r="D59" s="16"/>
      <c r="E59" s="21"/>
      <c r="F59" s="70"/>
    </row>
    <row r="60" spans="1:6" x14ac:dyDescent="0.15">
      <c r="A60" s="13"/>
      <c r="B60" s="22"/>
      <c r="C60" s="15"/>
      <c r="D60" s="16"/>
      <c r="E60" s="21"/>
      <c r="F60" s="70"/>
    </row>
    <row r="61" spans="1:6" x14ac:dyDescent="0.15">
      <c r="A61" s="15"/>
      <c r="B61" s="22"/>
      <c r="C61" s="15"/>
      <c r="D61" s="16"/>
      <c r="E61" s="21"/>
      <c r="F61" s="70"/>
    </row>
    <row r="62" spans="1:6" x14ac:dyDescent="0.15">
      <c r="A62" s="13"/>
      <c r="B62" s="22"/>
      <c r="C62" s="15"/>
      <c r="D62" s="16"/>
      <c r="E62" s="21"/>
      <c r="F62" s="70"/>
    </row>
    <row r="63" spans="1:6" x14ac:dyDescent="0.15">
      <c r="A63" s="15"/>
      <c r="B63" s="22"/>
      <c r="C63" s="15"/>
      <c r="D63" s="16"/>
      <c r="E63" s="21"/>
      <c r="F63" s="70"/>
    </row>
    <row r="64" spans="1:6" x14ac:dyDescent="0.15">
      <c r="A64" s="13"/>
      <c r="B64" s="22"/>
      <c r="C64" s="15"/>
      <c r="D64" s="16"/>
      <c r="E64" s="21"/>
      <c r="F64" s="70"/>
    </row>
    <row r="65" spans="1:6" x14ac:dyDescent="0.15">
      <c r="A65" s="15"/>
      <c r="B65" s="22"/>
      <c r="C65" s="15"/>
      <c r="D65" s="16"/>
      <c r="E65" s="21"/>
      <c r="F65" s="70"/>
    </row>
    <row r="66" spans="1:6" x14ac:dyDescent="0.15">
      <c r="A66" s="13"/>
      <c r="B66" s="22"/>
      <c r="C66" s="15"/>
      <c r="D66" s="16"/>
      <c r="E66" s="21"/>
      <c r="F66" s="70"/>
    </row>
    <row r="67" spans="1:6" x14ac:dyDescent="0.15">
      <c r="A67" s="15"/>
      <c r="B67" s="22"/>
      <c r="C67" s="15"/>
      <c r="D67" s="16"/>
      <c r="E67" s="21"/>
      <c r="F67" s="70"/>
    </row>
    <row r="68" spans="1:6" x14ac:dyDescent="0.15">
      <c r="A68" s="13"/>
      <c r="B68" s="22"/>
      <c r="C68" s="15"/>
      <c r="D68" s="16"/>
      <c r="E68" s="21"/>
      <c r="F68" s="70"/>
    </row>
    <row r="69" spans="1:6" x14ac:dyDescent="0.15">
      <c r="A69" s="15"/>
      <c r="B69" s="22"/>
      <c r="C69" s="15"/>
      <c r="D69" s="16"/>
      <c r="E69" s="21"/>
      <c r="F69" s="70"/>
    </row>
    <row r="70" spans="1:6" x14ac:dyDescent="0.15">
      <c r="A70" s="13"/>
      <c r="B70" s="22"/>
      <c r="C70" s="15"/>
      <c r="D70" s="16"/>
      <c r="E70" s="21"/>
      <c r="F70" s="70"/>
    </row>
    <row r="71" spans="1:6" x14ac:dyDescent="0.15">
      <c r="A71" s="15"/>
      <c r="B71" s="22"/>
      <c r="C71" s="15"/>
      <c r="D71" s="16"/>
      <c r="E71" s="21"/>
      <c r="F71" s="70"/>
    </row>
    <row r="72" spans="1:6" x14ac:dyDescent="0.15">
      <c r="A72" s="13"/>
      <c r="B72" s="22"/>
      <c r="C72" s="15"/>
      <c r="D72" s="16"/>
      <c r="E72" s="21"/>
      <c r="F72" s="70"/>
    </row>
    <row r="73" spans="1:6" x14ac:dyDescent="0.15">
      <c r="A73" s="15"/>
      <c r="B73" s="22"/>
      <c r="C73" s="15"/>
      <c r="D73" s="16"/>
      <c r="E73" s="21"/>
      <c r="F73" s="70"/>
    </row>
    <row r="74" spans="1:6" x14ac:dyDescent="0.15">
      <c r="A74" s="13"/>
      <c r="B74" s="22"/>
      <c r="C74" s="15"/>
      <c r="D74" s="16"/>
      <c r="E74" s="21"/>
      <c r="F74" s="70"/>
    </row>
    <row r="75" spans="1:6" x14ac:dyDescent="0.15">
      <c r="A75" s="15"/>
      <c r="B75" s="22"/>
      <c r="C75" s="15"/>
      <c r="D75" s="16"/>
      <c r="E75" s="21"/>
      <c r="F75" s="70"/>
    </row>
    <row r="76" spans="1:6" x14ac:dyDescent="0.15">
      <c r="A76" s="13"/>
      <c r="B76" s="22"/>
      <c r="C76" s="15"/>
      <c r="D76" s="16"/>
      <c r="E76" s="21"/>
      <c r="F76" s="70"/>
    </row>
    <row r="77" spans="1:6" x14ac:dyDescent="0.15">
      <c r="A77" s="15"/>
      <c r="B77" s="22"/>
      <c r="C77" s="15"/>
      <c r="D77" s="16"/>
      <c r="E77" s="21"/>
      <c r="F77" s="70"/>
    </row>
    <row r="78" spans="1:6" x14ac:dyDescent="0.15">
      <c r="A78" s="13"/>
      <c r="B78" s="22"/>
      <c r="C78" s="15"/>
      <c r="D78" s="16"/>
      <c r="E78" s="21"/>
      <c r="F78" s="70"/>
    </row>
    <row r="79" spans="1:6" x14ac:dyDescent="0.15">
      <c r="A79" s="15"/>
      <c r="B79" s="22"/>
      <c r="C79" s="15"/>
      <c r="D79" s="16"/>
      <c r="E79" s="21"/>
      <c r="F79" s="70"/>
    </row>
    <row r="80" spans="1:6" x14ac:dyDescent="0.15">
      <c r="A80" s="13"/>
      <c r="B80" s="22"/>
      <c r="C80" s="15"/>
      <c r="D80" s="16"/>
      <c r="E80" s="21"/>
      <c r="F80" s="70"/>
    </row>
    <row r="81" spans="1:8" x14ac:dyDescent="0.15">
      <c r="A81" s="15"/>
      <c r="B81" s="22"/>
      <c r="C81" s="15"/>
      <c r="D81" s="16"/>
      <c r="E81" s="21"/>
      <c r="F81" s="70"/>
    </row>
    <row r="82" spans="1:8" x14ac:dyDescent="0.15">
      <c r="A82" s="13"/>
      <c r="B82" s="22"/>
      <c r="C82" s="15"/>
      <c r="D82" s="16"/>
      <c r="E82" s="21"/>
      <c r="F82" s="70"/>
    </row>
    <row r="83" spans="1:8" x14ac:dyDescent="0.15">
      <c r="A83" s="15"/>
      <c r="B83" s="22"/>
      <c r="C83" s="15"/>
      <c r="D83" s="16"/>
      <c r="E83" s="21"/>
      <c r="F83" s="70"/>
    </row>
    <row r="84" spans="1:8" x14ac:dyDescent="0.15">
      <c r="A84" s="13"/>
      <c r="B84" s="22"/>
      <c r="C84" s="15"/>
      <c r="D84" s="16"/>
      <c r="E84" s="21"/>
      <c r="F84" s="70"/>
    </row>
    <row r="85" spans="1:8" x14ac:dyDescent="0.15">
      <c r="A85" s="15"/>
      <c r="B85" s="23"/>
      <c r="C85" s="10"/>
      <c r="D85" s="11"/>
      <c r="E85" s="21"/>
      <c r="F85" s="70"/>
    </row>
    <row r="86" spans="1:8" x14ac:dyDescent="0.15">
      <c r="A86" s="13"/>
      <c r="B86" s="23"/>
      <c r="C86" s="10"/>
      <c r="D86" s="12"/>
      <c r="E86" s="21"/>
      <c r="F86" s="70"/>
    </row>
    <row r="87" spans="1:8" x14ac:dyDescent="0.15">
      <c r="A87" s="15"/>
      <c r="B87" s="23"/>
      <c r="C87" s="10"/>
      <c r="D87" s="12"/>
      <c r="E87" s="21"/>
      <c r="F87" s="70"/>
    </row>
    <row r="88" spans="1:8" x14ac:dyDescent="0.15">
      <c r="A88" s="13"/>
      <c r="B88" s="23"/>
      <c r="C88" s="10"/>
      <c r="D88" s="12"/>
      <c r="E88" s="21"/>
      <c r="F88" s="70"/>
    </row>
    <row r="89" spans="1:8" x14ac:dyDescent="0.15">
      <c r="A89" s="15"/>
      <c r="B89" s="23"/>
      <c r="C89" s="10"/>
      <c r="D89" s="12"/>
      <c r="E89" s="21"/>
      <c r="F89" s="70"/>
    </row>
    <row r="90" spans="1:8" x14ac:dyDescent="0.15">
      <c r="A90" s="13"/>
      <c r="B90" s="23"/>
      <c r="C90" s="10"/>
      <c r="D90" s="12"/>
      <c r="E90" s="21"/>
      <c r="F90" s="70"/>
    </row>
    <row r="91" spans="1:8" x14ac:dyDescent="0.15">
      <c r="A91" s="15"/>
      <c r="B91" s="23"/>
      <c r="C91" s="10"/>
      <c r="D91" s="12"/>
      <c r="E91" s="21"/>
      <c r="F91" s="70"/>
    </row>
    <row r="92" spans="1:8" x14ac:dyDescent="0.15">
      <c r="A92" s="13"/>
      <c r="B92" s="23"/>
      <c r="C92" s="10"/>
      <c r="D92" s="12"/>
      <c r="E92" s="21"/>
      <c r="F92" s="70"/>
      <c r="H92" s="1"/>
    </row>
    <row r="93" spans="1:8" x14ac:dyDescent="0.15">
      <c r="A93" s="15"/>
      <c r="B93" s="23"/>
      <c r="C93" s="10"/>
      <c r="D93" s="12"/>
      <c r="E93" s="21"/>
      <c r="F93" s="70"/>
      <c r="H93" s="1"/>
    </row>
    <row r="94" spans="1:8" x14ac:dyDescent="0.15">
      <c r="A94" s="13"/>
      <c r="B94" s="23"/>
      <c r="C94" s="10"/>
      <c r="D94" s="12"/>
      <c r="E94" s="21"/>
      <c r="F94" s="70"/>
      <c r="H94" s="1"/>
    </row>
    <row r="95" spans="1:8" x14ac:dyDescent="0.15">
      <c r="A95" s="15"/>
      <c r="B95" s="23"/>
      <c r="C95" s="10"/>
      <c r="D95" s="12"/>
      <c r="E95" s="21"/>
      <c r="F95" s="70"/>
      <c r="H95" s="1"/>
    </row>
    <row r="96" spans="1:8" x14ac:dyDescent="0.15">
      <c r="A96" s="13"/>
      <c r="B96" s="23"/>
      <c r="C96" s="10"/>
      <c r="D96" s="12"/>
      <c r="E96" s="21"/>
      <c r="F96" s="70" t="str">
        <f t="shared" ref="F96:F97" si="1">IF(OR(B96="",E96=""),"",ROUND(B96*E96,2))</f>
        <v/>
      </c>
      <c r="H96" s="1"/>
    </row>
    <row r="97" spans="1:8" x14ac:dyDescent="0.15">
      <c r="A97" s="15"/>
      <c r="B97" s="23"/>
      <c r="C97" s="10"/>
      <c r="D97" s="12"/>
      <c r="E97" s="21"/>
      <c r="F97" s="70" t="str">
        <f t="shared" si="1"/>
        <v/>
      </c>
      <c r="H97" s="1"/>
    </row>
    <row r="98" spans="1:8" x14ac:dyDescent="0.15">
      <c r="A98" s="13"/>
      <c r="B98" s="23"/>
      <c r="C98" s="10"/>
      <c r="D98" s="12"/>
      <c r="E98" s="21"/>
      <c r="F98" s="70" t="str">
        <f t="shared" ref="F98:F101" si="2">IF(OR(B98="",E98=""),"",ROUND(B98*E98,2))</f>
        <v/>
      </c>
      <c r="H98" s="1"/>
    </row>
    <row r="99" spans="1:8" x14ac:dyDescent="0.15">
      <c r="A99" s="15"/>
      <c r="B99" s="23"/>
      <c r="C99" s="10"/>
      <c r="D99" s="12"/>
      <c r="E99" s="21"/>
      <c r="F99" s="70" t="str">
        <f t="shared" si="2"/>
        <v/>
      </c>
      <c r="H99" s="1"/>
    </row>
    <row r="100" spans="1:8" x14ac:dyDescent="0.15">
      <c r="A100" s="13"/>
      <c r="B100" s="23"/>
      <c r="C100" s="10"/>
      <c r="D100" s="12"/>
      <c r="E100" s="21"/>
      <c r="F100" s="70" t="str">
        <f t="shared" si="2"/>
        <v/>
      </c>
      <c r="H100" s="1"/>
    </row>
    <row r="101" spans="1:8" x14ac:dyDescent="0.15">
      <c r="A101" s="15"/>
      <c r="B101" s="23"/>
      <c r="C101" s="10"/>
      <c r="D101" s="12"/>
      <c r="E101" s="21"/>
      <c r="F101" s="70" t="str">
        <f t="shared" si="2"/>
        <v/>
      </c>
      <c r="H101" s="1"/>
    </row>
    <row r="102" spans="1:8" x14ac:dyDescent="0.15">
      <c r="A102" s="13"/>
      <c r="B102" s="23"/>
      <c r="C102" s="10"/>
      <c r="D102" s="12"/>
      <c r="E102" s="21"/>
      <c r="F102" s="70" t="str">
        <f t="shared" ref="F102:F104" si="3">IF(OR(B102="",E102=""),"",ROUND(B102*E102,2))</f>
        <v/>
      </c>
      <c r="H102" s="1"/>
    </row>
    <row r="103" spans="1:8" x14ac:dyDescent="0.15">
      <c r="A103" s="15"/>
      <c r="B103" s="23"/>
      <c r="C103" s="10"/>
      <c r="D103" s="12"/>
      <c r="E103" s="21"/>
      <c r="F103" s="70" t="str">
        <f t="shared" si="3"/>
        <v/>
      </c>
      <c r="H103" s="1"/>
    </row>
    <row r="104" spans="1:8" x14ac:dyDescent="0.15">
      <c r="A104" s="13"/>
      <c r="B104" s="23"/>
      <c r="C104" s="10"/>
      <c r="D104" s="12"/>
      <c r="E104" s="21"/>
      <c r="F104" s="70" t="str">
        <f t="shared" si="3"/>
        <v/>
      </c>
      <c r="H104" s="1"/>
    </row>
    <row r="105" spans="1:8" x14ac:dyDescent="0.15">
      <c r="A105" s="15"/>
      <c r="B105" s="23"/>
      <c r="C105" s="10"/>
      <c r="D105" s="12"/>
      <c r="E105" s="21"/>
      <c r="F105" s="70" t="str">
        <f t="shared" ref="F105:F109" si="4">IF(OR(B105="",E105=""),"",ROUND(B105*E105,2))</f>
        <v/>
      </c>
      <c r="H105" s="1"/>
    </row>
    <row r="106" spans="1:8" x14ac:dyDescent="0.15">
      <c r="A106" s="13"/>
      <c r="B106" s="23"/>
      <c r="C106" s="10"/>
      <c r="D106" s="12"/>
      <c r="E106" s="21"/>
      <c r="F106" s="70" t="str">
        <f t="shared" si="4"/>
        <v/>
      </c>
      <c r="H106" s="1"/>
    </row>
    <row r="107" spans="1:8" x14ac:dyDescent="0.15">
      <c r="A107" s="15"/>
      <c r="B107" s="23"/>
      <c r="C107" s="10"/>
      <c r="D107" s="12"/>
      <c r="E107" s="21"/>
      <c r="F107" s="70" t="str">
        <f t="shared" si="4"/>
        <v/>
      </c>
      <c r="H107" s="1"/>
    </row>
    <row r="108" spans="1:8" x14ac:dyDescent="0.15">
      <c r="A108" s="13"/>
      <c r="B108" s="23"/>
      <c r="C108" s="10"/>
      <c r="D108" s="12"/>
      <c r="E108" s="21"/>
      <c r="F108" s="70" t="str">
        <f t="shared" si="4"/>
        <v/>
      </c>
      <c r="H108" s="1"/>
    </row>
    <row r="109" spans="1:8" ht="14" thickBot="1" x14ac:dyDescent="0.2">
      <c r="A109" s="87"/>
      <c r="B109" s="81"/>
      <c r="C109" s="83"/>
      <c r="D109" s="84"/>
      <c r="E109" s="85"/>
      <c r="F109" s="86" t="str">
        <f t="shared" si="4"/>
        <v/>
      </c>
      <c r="H109" s="1"/>
    </row>
    <row r="110" spans="1:8" x14ac:dyDescent="0.15">
      <c r="A110" s="90" t="s">
        <v>62</v>
      </c>
      <c r="B110" s="74"/>
      <c r="C110" s="74"/>
      <c r="D110" s="75"/>
      <c r="E110" s="88" t="s">
        <v>63</v>
      </c>
      <c r="F110" s="82">
        <f>SUM(F30:F40)</f>
        <v>11553.39</v>
      </c>
      <c r="H110" s="1"/>
    </row>
    <row r="111" spans="1:8" x14ac:dyDescent="0.15">
      <c r="A111" s="76"/>
      <c r="B111" s="76"/>
      <c r="C111" s="76"/>
      <c r="D111" s="77"/>
      <c r="E111" s="73" t="s">
        <v>64</v>
      </c>
      <c r="F111" s="72">
        <v>0</v>
      </c>
      <c r="H111" s="1"/>
    </row>
    <row r="112" spans="1:8" x14ac:dyDescent="0.15">
      <c r="A112" s="76"/>
      <c r="B112" s="76"/>
      <c r="C112" s="76"/>
      <c r="D112" s="77"/>
      <c r="E112" s="73" t="s">
        <v>65</v>
      </c>
      <c r="F112" s="72">
        <v>0</v>
      </c>
      <c r="H112" s="1"/>
    </row>
    <row r="113" spans="1:8" ht="14" thickBot="1" x14ac:dyDescent="0.2">
      <c r="A113" s="78"/>
      <c r="B113" s="78"/>
      <c r="C113" s="78"/>
      <c r="D113" s="79"/>
      <c r="E113" s="89" t="s">
        <v>66</v>
      </c>
      <c r="F113" s="80">
        <f>F110+F111-F112</f>
        <v>11553.39</v>
      </c>
      <c r="H113" s="1"/>
    </row>
    <row r="114" spans="1:8" x14ac:dyDescent="0.15">
      <c r="A114" s="19"/>
      <c r="F114" s="17"/>
      <c r="H114" s="1"/>
    </row>
    <row r="115" spans="1:8" x14ac:dyDescent="0.15">
      <c r="H115" s="1"/>
    </row>
    <row r="116" spans="1:8" x14ac:dyDescent="0.15">
      <c r="H116" s="1"/>
    </row>
    <row r="117" spans="1:8" x14ac:dyDescent="0.15">
      <c r="H117" s="1"/>
    </row>
    <row r="118" spans="1:8" x14ac:dyDescent="0.15">
      <c r="H118" s="1"/>
    </row>
    <row r="119" spans="1:8" x14ac:dyDescent="0.15">
      <c r="H119" s="1"/>
    </row>
    <row r="120" spans="1:8" x14ac:dyDescent="0.15">
      <c r="H120" s="1"/>
    </row>
    <row r="121" spans="1:8" x14ac:dyDescent="0.15">
      <c r="H121" s="1"/>
    </row>
    <row r="122" spans="1:8" x14ac:dyDescent="0.15">
      <c r="H122" s="1"/>
    </row>
    <row r="123" spans="1:8" x14ac:dyDescent="0.15">
      <c r="H123" s="1"/>
    </row>
    <row r="124" spans="1:8" x14ac:dyDescent="0.15">
      <c r="H124" s="1"/>
    </row>
    <row r="125" spans="1:8" x14ac:dyDescent="0.15">
      <c r="H125" s="1"/>
    </row>
    <row r="126" spans="1:8" x14ac:dyDescent="0.15">
      <c r="H126" s="1"/>
    </row>
    <row r="127" spans="1:8" x14ac:dyDescent="0.15">
      <c r="H127" s="1"/>
    </row>
    <row r="128" spans="1:8" x14ac:dyDescent="0.15">
      <c r="H128" s="1"/>
    </row>
    <row r="129" spans="8:8" x14ac:dyDescent="0.15">
      <c r="H129" s="1"/>
    </row>
    <row r="130" spans="8:8" x14ac:dyDescent="0.15">
      <c r="H130" s="1"/>
    </row>
    <row r="131" spans="8:8" x14ac:dyDescent="0.15">
      <c r="H131" s="1"/>
    </row>
    <row r="132" spans="8:8" x14ac:dyDescent="0.15">
      <c r="H132" s="1"/>
    </row>
    <row r="133" spans="8:8" x14ac:dyDescent="0.15">
      <c r="H133" s="1"/>
    </row>
    <row r="134" spans="8:8" x14ac:dyDescent="0.15">
      <c r="H134" s="1"/>
    </row>
    <row r="160" spans="7:7" x14ac:dyDescent="0.15">
      <c r="G160" s="2"/>
    </row>
    <row r="161" spans="7:7" x14ac:dyDescent="0.15">
      <c r="G161" s="2"/>
    </row>
    <row r="162" spans="7:7" x14ac:dyDescent="0.15">
      <c r="G162" s="2"/>
    </row>
    <row r="163" spans="7:7" x14ac:dyDescent="0.15">
      <c r="G163" s="2"/>
    </row>
    <row r="164" spans="7:7" x14ac:dyDescent="0.15">
      <c r="G164" s="2"/>
    </row>
    <row r="165" spans="7:7" x14ac:dyDescent="0.15">
      <c r="G165" s="2"/>
    </row>
    <row r="166" spans="7:7" x14ac:dyDescent="0.15">
      <c r="G166" s="2"/>
    </row>
    <row r="167" spans="7:7" x14ac:dyDescent="0.15">
      <c r="G167" s="2"/>
    </row>
    <row r="168" spans="7:7" x14ac:dyDescent="0.15">
      <c r="G168" s="2"/>
    </row>
    <row r="169" spans="7:7" x14ac:dyDescent="0.15">
      <c r="G169" s="2"/>
    </row>
    <row r="170" spans="7:7" x14ac:dyDescent="0.15">
      <c r="G170" s="2"/>
    </row>
    <row r="171" spans="7:7" x14ac:dyDescent="0.15">
      <c r="G171" s="2"/>
    </row>
    <row r="172" spans="7:7" x14ac:dyDescent="0.15">
      <c r="G172" s="2"/>
    </row>
    <row r="173" spans="7:7" x14ac:dyDescent="0.15">
      <c r="G173" s="2"/>
    </row>
    <row r="174" spans="7:7" x14ac:dyDescent="0.15">
      <c r="G174" s="2"/>
    </row>
    <row r="175" spans="7:7" x14ac:dyDescent="0.15">
      <c r="G175" s="2"/>
    </row>
    <row r="176" spans="7:7" x14ac:dyDescent="0.15">
      <c r="G176" s="2"/>
    </row>
    <row r="177" spans="7:7" x14ac:dyDescent="0.15">
      <c r="G177" s="2"/>
    </row>
    <row r="178" spans="7:7" x14ac:dyDescent="0.15">
      <c r="G178" s="2"/>
    </row>
    <row r="179" spans="7:7" x14ac:dyDescent="0.15">
      <c r="G179" s="2"/>
    </row>
    <row r="212" spans="8:8" x14ac:dyDescent="0.15">
      <c r="H212" s="2"/>
    </row>
    <row r="213" spans="8:8" x14ac:dyDescent="0.15">
      <c r="H213" s="2"/>
    </row>
  </sheetData>
  <mergeCells count="46">
    <mergeCell ref="A22:F22"/>
    <mergeCell ref="A26:F26"/>
    <mergeCell ref="A110:D113"/>
    <mergeCell ref="D16:F16"/>
    <mergeCell ref="A2:F2"/>
    <mergeCell ref="A5:C5"/>
    <mergeCell ref="A23:C23"/>
    <mergeCell ref="A14:C14"/>
    <mergeCell ref="D4:F4"/>
    <mergeCell ref="A8:C8"/>
    <mergeCell ref="A17:C17"/>
    <mergeCell ref="D18:F18"/>
    <mergeCell ref="D9:F9"/>
    <mergeCell ref="A4:C4"/>
    <mergeCell ref="D25:F25"/>
    <mergeCell ref="D15:F15"/>
    <mergeCell ref="D27:F27"/>
    <mergeCell ref="A18:C18"/>
    <mergeCell ref="A28:F28"/>
    <mergeCell ref="D5:F5"/>
    <mergeCell ref="D23:F23"/>
    <mergeCell ref="A9:C9"/>
    <mergeCell ref="A15:C15"/>
    <mergeCell ref="A11:C11"/>
    <mergeCell ref="A12:C12"/>
    <mergeCell ref="A27:C27"/>
    <mergeCell ref="D17:F17"/>
    <mergeCell ref="A21:C21"/>
    <mergeCell ref="D6:F6"/>
    <mergeCell ref="D7:F7"/>
    <mergeCell ref="D8:F8"/>
    <mergeCell ref="D10:F10"/>
    <mergeCell ref="D11:F11"/>
    <mergeCell ref="A1:F1"/>
    <mergeCell ref="A6:C6"/>
    <mergeCell ref="D21:F21"/>
    <mergeCell ref="A7:C7"/>
    <mergeCell ref="A16:C16"/>
    <mergeCell ref="A10:C10"/>
    <mergeCell ref="D14:F14"/>
    <mergeCell ref="A19:C19"/>
    <mergeCell ref="A3:F3"/>
    <mergeCell ref="D12:F12"/>
    <mergeCell ref="A13:F13"/>
    <mergeCell ref="A20:F20"/>
    <mergeCell ref="D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Barcelos</cp:lastModifiedBy>
  <dcterms:created xsi:type="dcterms:W3CDTF">2026-05-21T21:48:32Z</dcterms:created>
  <dcterms:modified xsi:type="dcterms:W3CDTF">2026-05-21T21:48:32Z</dcterms:modified>
</cp:coreProperties>
</file>