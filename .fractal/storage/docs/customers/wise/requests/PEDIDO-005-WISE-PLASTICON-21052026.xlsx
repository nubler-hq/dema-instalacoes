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elipebarcelospro/Sandbox/nubler/dema-instalacoes/.fractal/artifacts/docs/projects/wise/requests/"/>
    </mc:Choice>
  </mc:AlternateContent>
  <xr:revisionPtr revIDLastSave="0" documentId="8_{5AF482CE-A96A-DC4C-B0B6-DE1DF4E39E52}" xr6:coauthVersionLast="47" xr6:coauthVersionMax="47" xr10:uidLastSave="{00000000-0000-0000-0000-000000000000}"/>
  <bookViews>
    <workbookView xWindow="0" yWindow="600" windowWidth="76800" windowHeight="41020" xr2:uid="{00000000-000D-0000-FFFF-FFFF00000000}"/>
  </bookViews>
  <sheets>
    <sheet name="PEDIDO 2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" l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32" i="1"/>
  <c r="F31" i="1"/>
  <c r="F30" i="1"/>
  <c r="F110" i="1" s="1"/>
  <c r="F113" i="1" s="1"/>
</calcChain>
</file>

<file path=xl/sharedStrings.xml><?xml version="1.0" encoding="utf-8"?>
<sst xmlns="http://schemas.openxmlformats.org/spreadsheetml/2006/main" count="61" uniqueCount="56">
  <si>
    <t>DEMA INST. ELÉTRICAS, HIDRÁULICAS E MANUTENÇÕES LTDA.</t>
  </si>
  <si>
    <t>AV. BRIGADEIRO LUÍS ANTÔNIO, 3097 - Sala 907 - JD. PAULISTA, SÃO PAULO - SP</t>
  </si>
  <si>
    <t>NÃO SERÁ ACEITO EM HIPOTESE NENHUMA NEGOCIAÇÃO DE TÍTULOS CONTRA TERCEIROS</t>
  </si>
  <si>
    <t>ITEM</t>
  </si>
  <si>
    <t>QTDE</t>
  </si>
  <si>
    <t>UNID.</t>
  </si>
  <si>
    <t>DESCRIÇÃO</t>
  </si>
  <si>
    <t xml:space="preserve">UNIT </t>
  </si>
  <si>
    <t>TOTAL</t>
  </si>
  <si>
    <t>PEDIDO DE COMPRA N° ____ - MATERIAIS ELÉTRICOS - WISE</t>
  </si>
  <si>
    <t>PEDIDO INTERNO:</t>
  </si>
  <si>
    <t>PROPOSTA 23876 - PLASTICON</t>
  </si>
  <si>
    <t>Data:</t>
  </si>
  <si>
    <t>20/05/2026</t>
  </si>
  <si>
    <t>Fornecedor:</t>
  </si>
  <si>
    <t>PLASTICON COMÉRCIO LTDA</t>
  </si>
  <si>
    <t>CNPJ:</t>
  </si>
  <si>
    <t>23.848.502/0001-72</t>
  </si>
  <si>
    <t>Inscrição Estadual:</t>
  </si>
  <si>
    <t>140.345.037.110</t>
  </si>
  <si>
    <t>End.:</t>
  </si>
  <si>
    <t>Rua Auriverde, 1697 - Vila Independência - São Paulo/SP</t>
  </si>
  <si>
    <t>CEP:</t>
  </si>
  <si>
    <t>04222-002</t>
  </si>
  <si>
    <t>Tel/Contato/e mail:</t>
  </si>
  <si>
    <t>(11) 5181-3000 / Renato Rodrigues</t>
  </si>
  <si>
    <t>Condições de Pgto.:</t>
  </si>
  <si>
    <t>28 DIAS</t>
  </si>
  <si>
    <t>Faturamento:</t>
  </si>
  <si>
    <t>Wise Clementino / SMG22 Empreendimentos Imobiliários SPE LTDA</t>
  </si>
  <si>
    <t>48.868.032/0001-30</t>
  </si>
  <si>
    <t>ISENTA</t>
  </si>
  <si>
    <t>Rua Desembargador Eliseu Guilherme, 292, Conj. 82 E - Paraíso - São Paulo/SP</t>
  </si>
  <si>
    <t>04004-030</t>
  </si>
  <si>
    <t>Telefone:</t>
  </si>
  <si>
    <t>(11) 3045-6800 / (11) 99149-5417</t>
  </si>
  <si>
    <t>Cobrança:</t>
  </si>
  <si>
    <t>A CONFIRMAR</t>
  </si>
  <si>
    <t>Prazo de entrega:</t>
  </si>
  <si>
    <t>FRETE CIF - Proposta 23876</t>
  </si>
  <si>
    <t>Faturamento</t>
  </si>
  <si>
    <t>Não emitir nota fiscal após o dia 25</t>
  </si>
  <si>
    <t>Local de entrega:</t>
  </si>
  <si>
    <t>Rua Guapiaçu, 75 e Rua Joaquim de Almeida, 230 - Saúde - São Paulo/SP - CEP 04024-020</t>
  </si>
  <si>
    <t>Horário para Entrega:</t>
  </si>
  <si>
    <t>8:00 HS AS 11:00 HS E DAS 13:00 HS AS 16:00 HS</t>
  </si>
  <si>
    <t>PÇ</t>
  </si>
  <si>
    <t>CTO - Caixa Octogonal Teto Snap Fit® com tampa</t>
  </si>
  <si>
    <t>CPAB - Caixa de Passagem Angle Box®</t>
  </si>
  <si>
    <t>ROLO</t>
  </si>
  <si>
    <t>ELC40O - Eletroduto Flexível Corrugado Médio de 40mm - PEAD OCRE - 50 metros</t>
  </si>
  <si>
    <t>OBS: Proposta 23876. Prazo de pagamento: 28 dias. Frete: CIF. Impostos inclusos; não tem IPI. CNO Obra: 90.022.90788/78. SFOBRAS/2025/0001813-8.</t>
  </si>
  <si>
    <t>SUB TOTAL</t>
  </si>
  <si>
    <t>FRETE</t>
  </si>
  <si>
    <t>DESCONTO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</si>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</sst>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7" formatCode="\R\$\ #,##0.00"/>
    <numFmt numFmtId="168" formatCode="\R\$\ #,##0.000000"/>
    <numFmt numFmtId="169" formatCode="\R\$\ #,##0.0000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b/>
      <i/>
      <sz val="9"/>
      <name val="Verdana"/>
      <family val="2"/>
    </font>
    <font>
      <sz val="8"/>
      <name val="Arial"/>
      <family val="2"/>
    </font>
    <font>
      <sz val="11"/>
      <color theme="1"/>
      <name val="Calibri"/>
      <family val="2"/>
    </font>
    <font>
      <b/>
      <sz val="10"/>
      <color rgb="FF333333"/>
      <name val="Times New Roman"/>
      <family val="1"/>
    </font>
    <font>
      <sz val="10"/>
      <color rgb="FF333333"/>
      <name val="Times New Roman"/>
      <family val="1"/>
    </font>
    <font>
      <sz val="10"/>
      <name val="Arial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44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43" fontId="9" fillId="0" borderId="0"/>
    <xf numFmtId="44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43" fontId="9" fillId="0" borderId="0"/>
    <xf numFmtId="44" fontId="12" fillId="0" borderId="0"/>
    <xf numFmtId="0" fontId="9" fillId="0" borderId="0"/>
    <xf numFmtId="44" fontId="12" fillId="0" borderId="0"/>
    <xf numFmtId="0" fontId="9" fillId="0" borderId="0"/>
    <xf numFmtId="0" fontId="9" fillId="0" borderId="0"/>
    <xf numFmtId="43" fontId="9" fillId="0" borderId="0"/>
  </cellStyleXfs>
  <cellXfs count="119">
    <xf numFmtId="0" fontId="0" fillId="0" borderId="0" xfId="0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5" xfId="0" applyFont="1" applyBorder="1"/>
    <xf numFmtId="0" fontId="6" fillId="0" borderId="6" xfId="0" applyFont="1" applyBorder="1"/>
    <xf numFmtId="44" fontId="1" fillId="0" borderId="0" xfId="1" applyFont="1"/>
    <xf numFmtId="0" fontId="6" fillId="0" borderId="8" xfId="0" applyFont="1" applyBorder="1"/>
    <xf numFmtId="44" fontId="1" fillId="0" borderId="6" xfId="1" applyFont="1" applyBorder="1" applyAlignment="1">
      <alignment horizontal="left"/>
    </xf>
    <xf numFmtId="14" fontId="6" fillId="0" borderId="8" xfId="0" applyNumberFormat="1" applyFont="1" applyBorder="1" applyAlignment="1">
      <alignment horizontal="left"/>
    </xf>
    <xf numFmtId="0" fontId="13" fillId="2" borderId="12" xfId="0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44" fontId="4" fillId="0" borderId="20" xfId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0" fillId="0" borderId="21" xfId="0" applyBorder="1"/>
    <xf numFmtId="44" fontId="0" fillId="0" borderId="21" xfId="0" applyNumberFormat="1" applyBorder="1"/>
    <xf numFmtId="0" fontId="0" fillId="0" borderId="25" xfId="0" applyBorder="1"/>
    <xf numFmtId="0" fontId="4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1" fontId="13" fillId="2" borderId="12" xfId="0" applyNumberFormat="1" applyFont="1" applyFill="1" applyBorder="1" applyAlignment="1">
      <alignment horizontal="center"/>
    </xf>
    <xf numFmtId="168" fontId="13" fillId="2" borderId="12" xfId="0" applyNumberFormat="1" applyFont="1" applyFill="1" applyBorder="1" applyAlignment="1">
      <alignment horizontal="right"/>
    </xf>
    <xf numFmtId="44" fontId="8" fillId="0" borderId="12" xfId="0" applyNumberFormat="1" applyFont="1" applyBorder="1" applyAlignment="1">
      <alignment horizontal="right"/>
    </xf>
    <xf numFmtId="0" fontId="13" fillId="2" borderId="14" xfId="0" applyFont="1" applyFill="1" applyBorder="1" applyAlignment="1">
      <alignment horizontal="left" wrapText="1"/>
    </xf>
    <xf numFmtId="0" fontId="13" fillId="2" borderId="14" xfId="0" applyFont="1" applyFill="1" applyBorder="1" applyAlignment="1">
      <alignment wrapText="1"/>
    </xf>
    <xf numFmtId="14" fontId="6" fillId="0" borderId="6" xfId="0" applyNumberFormat="1" applyFont="1" applyBorder="1" applyAlignment="1">
      <alignment horizontal="left" vertical="center"/>
    </xf>
    <xf numFmtId="4" fontId="8" fillId="0" borderId="18" xfId="0" applyNumberFormat="1" applyFont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4" fontId="13" fillId="2" borderId="12" xfId="0" applyNumberFormat="1" applyFont="1" applyFill="1" applyBorder="1" applyAlignment="1">
      <alignment horizontal="center"/>
    </xf>
    <xf numFmtId="0" fontId="8" fillId="0" borderId="18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169" fontId="13" fillId="2" borderId="12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5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 vertical="center"/>
    </xf>
    <xf numFmtId="44" fontId="1" fillId="0" borderId="0" xfId="1" applyFont="1"/>
    <xf numFmtId="0" fontId="0" fillId="0" borderId="11" xfId="0" applyBorder="1"/>
    <xf numFmtId="0" fontId="5" fillId="0" borderId="1" xfId="0" applyFont="1" applyBorder="1" applyAlignment="1">
      <alignment horizontal="left"/>
    </xf>
    <xf numFmtId="0" fontId="0" fillId="0" borderId="0" xfId="0"/>
    <xf numFmtId="0" fontId="6" fillId="0" borderId="15" xfId="0" applyFont="1" applyBorder="1" applyAlignment="1">
      <alignment horizontal="left"/>
    </xf>
    <xf numFmtId="0" fontId="6" fillId="0" borderId="9" xfId="0" applyFont="1" applyBorder="1" applyAlignment="1">
      <alignment horizontal="left" vertical="center"/>
    </xf>
    <xf numFmtId="0" fontId="6" fillId="0" borderId="16" xfId="0" applyFont="1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7" fillId="0" borderId="16" xfId="0" applyFont="1" applyBorder="1" applyAlignment="1">
      <alignment horizontal="center"/>
    </xf>
    <xf numFmtId="14" fontId="5" fillId="0" borderId="9" xfId="0" applyNumberFormat="1" applyFont="1" applyBorder="1" applyAlignment="1">
      <alignment horizontal="left" vertical="center"/>
    </xf>
    <xf numFmtId="14" fontId="6" fillId="0" borderId="17" xfId="0" applyNumberFormat="1" applyFont="1" applyBorder="1" applyAlignment="1">
      <alignment horizontal="left" vertical="center"/>
    </xf>
    <xf numFmtId="0" fontId="0" fillId="0" borderId="6" xfId="0" applyBorder="1"/>
    <xf numFmtId="0" fontId="0" fillId="0" borderId="8" xfId="0" applyBorder="1"/>
    <xf numFmtId="0" fontId="5" fillId="0" borderId="3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3" fontId="6" fillId="0" borderId="11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4" fillId="0" borderId="1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/>
    </xf>
    <xf numFmtId="44" fontId="1" fillId="0" borderId="21" xfId="1" applyFont="1" applyBorder="1"/>
    <xf numFmtId="0" fontId="0" fillId="0" borderId="27" xfId="0" applyBorder="1"/>
    <xf numFmtId="0" fontId="0" fillId="0" borderId="21" xfId="0" applyBorder="1"/>
    <xf numFmtId="0" fontId="6" fillId="0" borderId="21" xfId="0" applyFont="1" applyBorder="1" applyAlignment="1">
      <alignment horizontal="left" vertical="center"/>
    </xf>
    <xf numFmtId="167" fontId="8" fillId="2" borderId="36" xfId="0" applyNumberFormat="1" applyFont="1" applyFill="1" applyBorder="1" applyAlignment="1">
      <alignment horizontal="center"/>
    </xf>
    <xf numFmtId="167" fontId="8" fillId="2" borderId="37" xfId="0" applyNumberFormat="1" applyFont="1" applyFill="1" applyBorder="1" applyAlignment="1">
      <alignment horizontal="center"/>
    </xf>
    <xf numFmtId="167" fontId="8" fillId="2" borderId="38" xfId="0" applyNumberFormat="1" applyFont="1" applyFill="1" applyBorder="1" applyAlignment="1">
      <alignment horizontal="center"/>
    </xf>
    <xf numFmtId="0" fontId="0" fillId="0" borderId="28" xfId="0" applyBorder="1"/>
    <xf numFmtId="167" fontId="8" fillId="2" borderId="39" xfId="0" applyNumberFormat="1" applyFont="1" applyFill="1" applyBorder="1" applyAlignment="1">
      <alignment horizontal="center"/>
    </xf>
    <xf numFmtId="167" fontId="8" fillId="2" borderId="37" xfId="0" applyNumberFormat="1" applyFont="1" applyFill="1" applyBorder="1" applyAlignment="1">
      <alignment horizontal="right"/>
    </xf>
    <xf numFmtId="167" fontId="8" fillId="0" borderId="39" xfId="0" applyNumberFormat="1" applyFont="1" applyBorder="1" applyAlignment="1">
      <alignment horizontal="right"/>
    </xf>
    <xf numFmtId="44" fontId="1" fillId="0" borderId="21" xfId="1" applyFont="1" applyBorder="1"/>
    <xf numFmtId="44" fontId="8" fillId="0" borderId="40" xfId="0" applyNumberFormat="1" applyFont="1" applyBorder="1" applyAlignment="1">
      <alignment horizontal="right"/>
    </xf>
    <xf numFmtId="167" fontId="8" fillId="0" borderId="41" xfId="0" applyNumberFormat="1" applyFont="1" applyBorder="1" applyAlignment="1">
      <alignment horizontal="right"/>
    </xf>
    <xf numFmtId="0" fontId="14" fillId="0" borderId="21" xfId="0" applyFont="1" applyBorder="1"/>
    <xf numFmtId="0" fontId="14" fillId="0" borderId="30" xfId="0" applyFont="1" applyBorder="1"/>
    <xf numFmtId="0" fontId="14" fillId="0" borderId="35" xfId="0" applyFont="1" applyBorder="1" applyAlignment="1">
      <alignment horizontal="center" vertical="center" wrapText="1"/>
    </xf>
    <xf numFmtId="44" fontId="8" fillId="0" borderId="34" xfId="0" applyNumberFormat="1" applyFont="1" applyBorder="1" applyAlignment="1">
      <alignment horizontal="right"/>
    </xf>
    <xf numFmtId="0" fontId="8" fillId="0" borderId="40" xfId="0" applyFont="1" applyBorder="1" applyAlignment="1">
      <alignment horizontal="center"/>
    </xf>
    <xf numFmtId="1" fontId="13" fillId="2" borderId="40" xfId="0" applyNumberFormat="1" applyFont="1" applyFill="1" applyBorder="1" applyAlignment="1">
      <alignment horizontal="center"/>
    </xf>
    <xf numFmtId="0" fontId="13" fillId="2" borderId="40" xfId="0" applyFont="1" applyFill="1" applyBorder="1" applyAlignment="1">
      <alignment horizontal="center"/>
    </xf>
    <xf numFmtId="0" fontId="13" fillId="2" borderId="42" xfId="0" applyFont="1" applyFill="1" applyBorder="1" applyAlignment="1">
      <alignment wrapText="1"/>
    </xf>
    <xf numFmtId="168" fontId="13" fillId="2" borderId="40" xfId="0" applyNumberFormat="1" applyFont="1" applyFill="1" applyBorder="1" applyAlignment="1">
      <alignment horizontal="right"/>
    </xf>
    <xf numFmtId="167" fontId="8" fillId="2" borderId="41" xfId="0" applyNumberFormat="1" applyFont="1" applyFill="1" applyBorder="1" applyAlignment="1">
      <alignment horizontal="right"/>
    </xf>
    <xf numFmtId="169" fontId="13" fillId="2" borderId="43" xfId="0" applyNumberFormat="1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3" fontId="5" fillId="0" borderId="28" xfId="0" applyNumberFormat="1" applyFont="1" applyBorder="1" applyAlignment="1">
      <alignment horizontal="left" vertical="center"/>
    </xf>
    <xf numFmtId="3" fontId="5" fillId="0" borderId="21" xfId="0" applyNumberFormat="1" applyFont="1" applyBorder="1" applyAlignment="1">
      <alignment horizontal="left" vertical="center"/>
    </xf>
    <xf numFmtId="3" fontId="5" fillId="0" borderId="27" xfId="0" applyNumberFormat="1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169" fontId="13" fillId="2" borderId="12" xfId="0" applyNumberFormat="1" applyFont="1" applyFill="1" applyBorder="1" applyAlignment="1">
      <alignment horizontal="center" vertical="center"/>
    </xf>
    <xf numFmtId="167" fontId="8" fillId="2" borderId="38" xfId="0" applyNumberFormat="1" applyFont="1" applyFill="1" applyBorder="1" applyAlignment="1">
      <alignment horizontal="center" vertical="center"/>
    </xf>
  </cellXfs>
  <cellStyles count="19">
    <cellStyle name="Moeda" xfId="1" xr:uid="{00000000-0005-0000-0000-000000000000}"/>
    <cellStyle name="Moeda 2" xfId="13" xr:uid="{00000000-0005-0000-0000-000001000000}"/>
    <cellStyle name="Moeda 3" xfId="7" xr:uid="{00000000-0005-0000-0000-000002000000}"/>
    <cellStyle name="Moeda 4" xfId="15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3" xfId="3" xr:uid="{00000000-0005-0000-0000-000007000000}"/>
    <cellStyle name="Normal 3 2" xfId="14" xr:uid="{00000000-0005-0000-0000-000008000000}"/>
    <cellStyle name="Normal 3 3" xfId="9" xr:uid="{00000000-0005-0000-0000-000009000000}"/>
    <cellStyle name="Normal 3 4" xfId="16" xr:uid="{00000000-0005-0000-0000-00000A000000}"/>
    <cellStyle name="Normal 4" xfId="4" xr:uid="{00000000-0005-0000-0000-00000B000000}"/>
    <cellStyle name="Normal 4 2" xfId="10" xr:uid="{00000000-0005-0000-0000-00000C000000}"/>
    <cellStyle name="Normal 5" xfId="5" xr:uid="{00000000-0005-0000-0000-00000D000000}"/>
    <cellStyle name="Normal 5 2" xfId="11" xr:uid="{00000000-0005-0000-0000-00000E000000}"/>
    <cellStyle name="Normal 5 3" xfId="17" xr:uid="{00000000-0005-0000-0000-00000F000000}"/>
    <cellStyle name="Vírgula 2" xfId="6" xr:uid="{00000000-0005-0000-0000-000010000000}"/>
    <cellStyle name="Vírgula 2 2" xfId="12" xr:uid="{00000000-0005-0000-0000-000011000000}"/>
    <cellStyle name="Vírgula 2 3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zoomScale="200" zoomScaleNormal="200" workbookViewId="0">
      <selection activeCell="D35" sqref="D35"/>
    </sheetView>
  </sheetViews>
  <sheetFormatPr baseColWidth="10" defaultColWidth="8.83203125" defaultRowHeight="13" x14ac:dyDescent="0.15"/>
  <cols>
    <col min="1" max="1" width="5.83203125" customWidth="1"/>
    <col min="2" max="2" width="8.1640625" customWidth="1"/>
    <col min="3" max="3" width="9.1640625" customWidth="1"/>
    <col min="4" max="4" width="49.6640625" customWidth="1"/>
    <col min="5" max="5" width="10" style="5" customWidth="1"/>
    <col min="6" max="6" width="13.5" customWidth="1"/>
    <col min="7" max="7" width="17" customWidth="1"/>
    <col min="8" max="8" width="15.1640625" customWidth="1"/>
    <col min="9" max="9" width="16.5" customWidth="1"/>
    <col min="10" max="10" width="17.5" customWidth="1"/>
  </cols>
  <sheetData>
    <row r="1" spans="1:6" ht="23.25" customHeight="1" x14ac:dyDescent="0.2">
      <c r="A1" s="33" t="s">
        <v>0</v>
      </c>
      <c r="B1" s="34"/>
      <c r="C1" s="34"/>
      <c r="D1" s="34"/>
      <c r="E1" s="34"/>
      <c r="F1" s="35"/>
    </row>
    <row r="2" spans="1:6" ht="20.75" customHeight="1" x14ac:dyDescent="0.2">
      <c r="A2" s="55" t="s">
        <v>1</v>
      </c>
      <c r="B2" s="45"/>
      <c r="C2" s="45"/>
      <c r="D2" s="45"/>
      <c r="E2" s="45"/>
      <c r="F2" s="46"/>
    </row>
    <row r="3" spans="1:6" ht="20.75" customHeight="1" x14ac:dyDescent="0.2">
      <c r="A3" s="53" t="s">
        <v>9</v>
      </c>
      <c r="B3" s="50"/>
      <c r="C3" s="50"/>
      <c r="D3" s="50"/>
      <c r="E3" s="50"/>
      <c r="F3" s="51"/>
    </row>
    <row r="4" spans="1:6" ht="18.5" customHeight="1" x14ac:dyDescent="0.15">
      <c r="A4" s="61" t="s">
        <v>10</v>
      </c>
      <c r="B4" s="50"/>
      <c r="C4" s="51"/>
      <c r="D4" s="59" t="s">
        <v>11</v>
      </c>
      <c r="E4" s="50"/>
      <c r="F4" s="51"/>
    </row>
    <row r="5" spans="1:6" ht="18.5" customHeight="1" thickBot="1" x14ac:dyDescent="0.2">
      <c r="A5" s="56" t="s">
        <v>12</v>
      </c>
      <c r="B5" s="50"/>
      <c r="C5" s="51"/>
      <c r="D5" s="48" t="s">
        <v>13</v>
      </c>
      <c r="E5" s="34"/>
      <c r="F5" s="35"/>
    </row>
    <row r="6" spans="1:6" x14ac:dyDescent="0.15">
      <c r="A6" s="36" t="s">
        <v>14</v>
      </c>
      <c r="B6" s="34"/>
      <c r="C6" s="35"/>
      <c r="D6" s="104" t="s">
        <v>15</v>
      </c>
      <c r="E6" s="105"/>
      <c r="F6" s="106"/>
    </row>
    <row r="7" spans="1:6" x14ac:dyDescent="0.15">
      <c r="A7" s="40" t="s">
        <v>16</v>
      </c>
      <c r="B7" s="41"/>
      <c r="C7" s="39"/>
      <c r="D7" s="101" t="s">
        <v>17</v>
      </c>
      <c r="E7" s="102"/>
      <c r="F7" s="103"/>
    </row>
    <row r="8" spans="1:6" x14ac:dyDescent="0.15">
      <c r="A8" s="40" t="s">
        <v>18</v>
      </c>
      <c r="B8" s="41"/>
      <c r="C8" s="39"/>
      <c r="D8" s="98" t="s">
        <v>19</v>
      </c>
      <c r="E8" s="99"/>
      <c r="F8" s="100"/>
    </row>
    <row r="9" spans="1:6" x14ac:dyDescent="0.15">
      <c r="A9" s="40" t="s">
        <v>20</v>
      </c>
      <c r="B9" s="41"/>
      <c r="C9" s="39"/>
      <c r="D9" s="60" t="s">
        <v>21</v>
      </c>
      <c r="E9" s="38"/>
      <c r="F9" s="39"/>
    </row>
    <row r="10" spans="1:6" x14ac:dyDescent="0.15">
      <c r="A10" s="40" t="s">
        <v>22</v>
      </c>
      <c r="B10" s="41"/>
      <c r="C10" s="39"/>
      <c r="D10" s="95" t="s">
        <v>23</v>
      </c>
      <c r="E10" s="96"/>
      <c r="F10" s="97"/>
    </row>
    <row r="11" spans="1:6" x14ac:dyDescent="0.15">
      <c r="A11" s="40" t="s">
        <v>24</v>
      </c>
      <c r="B11" s="41"/>
      <c r="C11" s="39"/>
      <c r="D11" s="95" t="s">
        <v>25</v>
      </c>
      <c r="E11" s="96"/>
      <c r="F11" s="97"/>
    </row>
    <row r="12" spans="1:6" ht="18.5" customHeight="1" thickBot="1" x14ac:dyDescent="0.2">
      <c r="A12" s="52" t="s">
        <v>26</v>
      </c>
      <c r="B12" s="45"/>
      <c r="C12" s="46"/>
      <c r="D12" s="92" t="s">
        <v>27</v>
      </c>
      <c r="E12" s="93"/>
      <c r="F12" s="94"/>
    </row>
    <row r="13" spans="1:6" ht="18.5" customHeight="1" thickBot="1" x14ac:dyDescent="0.2">
      <c r="A13" s="89"/>
      <c r="B13" s="90"/>
      <c r="C13" s="90"/>
      <c r="D13" s="90"/>
      <c r="E13" s="90"/>
      <c r="F13" s="91"/>
    </row>
    <row r="14" spans="1:6" x14ac:dyDescent="0.15">
      <c r="A14" s="58" t="s">
        <v>28</v>
      </c>
      <c r="B14" s="34"/>
      <c r="C14" s="35"/>
      <c r="D14" s="43" t="s">
        <v>29</v>
      </c>
      <c r="E14" s="34"/>
      <c r="F14" s="35"/>
    </row>
    <row r="15" spans="1:6" x14ac:dyDescent="0.15">
      <c r="A15" s="42" t="s">
        <v>16</v>
      </c>
      <c r="B15" s="41"/>
      <c r="C15" s="39"/>
      <c r="D15" s="37" t="s">
        <v>30</v>
      </c>
      <c r="E15" s="38"/>
      <c r="F15" s="39"/>
    </row>
    <row r="16" spans="1:6" x14ac:dyDescent="0.15">
      <c r="A16" s="42" t="s">
        <v>18</v>
      </c>
      <c r="B16" s="41"/>
      <c r="C16" s="39"/>
      <c r="D16" s="54" t="s">
        <v>31</v>
      </c>
      <c r="E16" s="38"/>
      <c r="F16" s="39"/>
    </row>
    <row r="17" spans="1:7" x14ac:dyDescent="0.15">
      <c r="A17" s="42" t="s">
        <v>20</v>
      </c>
      <c r="B17" s="41"/>
      <c r="C17" s="39"/>
      <c r="D17" s="37" t="s">
        <v>32</v>
      </c>
      <c r="E17" s="38"/>
      <c r="F17" s="39"/>
    </row>
    <row r="18" spans="1:7" x14ac:dyDescent="0.15">
      <c r="A18" s="42" t="s">
        <v>22</v>
      </c>
      <c r="B18" s="41"/>
      <c r="C18" s="66"/>
      <c r="D18" s="67" t="s">
        <v>33</v>
      </c>
      <c r="E18" s="64"/>
      <c r="F18" s="65"/>
    </row>
    <row r="19" spans="1:7" ht="18.5" customHeight="1" thickBot="1" x14ac:dyDescent="0.2">
      <c r="A19" s="44" t="s">
        <v>34</v>
      </c>
      <c r="B19" s="45"/>
      <c r="C19" s="46"/>
      <c r="D19" s="107" t="s">
        <v>35</v>
      </c>
      <c r="E19" s="108"/>
      <c r="F19" s="109"/>
    </row>
    <row r="20" spans="1:7" ht="18.5" customHeight="1" thickBot="1" x14ac:dyDescent="0.2">
      <c r="A20" s="110"/>
      <c r="B20" s="111"/>
      <c r="C20" s="111"/>
      <c r="D20" s="111"/>
      <c r="E20" s="111"/>
      <c r="F20" s="112"/>
    </row>
    <row r="21" spans="1:7" ht="18.5" customHeight="1" thickBot="1" x14ac:dyDescent="0.2">
      <c r="A21" s="63" t="s">
        <v>36</v>
      </c>
      <c r="B21" s="50"/>
      <c r="C21" s="51"/>
      <c r="D21" s="37" t="s">
        <v>37</v>
      </c>
      <c r="E21" s="38"/>
      <c r="F21" s="39"/>
    </row>
    <row r="22" spans="1:7" ht="18.5" customHeight="1" thickBot="1" x14ac:dyDescent="0.2">
      <c r="A22" s="110"/>
      <c r="B22" s="111"/>
      <c r="C22" s="111"/>
      <c r="D22" s="111"/>
      <c r="E22" s="111"/>
      <c r="F22" s="112"/>
    </row>
    <row r="23" spans="1:7" ht="18.5" customHeight="1" thickBot="1" x14ac:dyDescent="0.2">
      <c r="A23" s="57" t="s">
        <v>38</v>
      </c>
      <c r="B23" s="50"/>
      <c r="C23" s="50"/>
      <c r="D23" s="49" t="s">
        <v>39</v>
      </c>
      <c r="E23" s="50"/>
      <c r="F23" s="51"/>
    </row>
    <row r="24" spans="1:7" ht="18.5" customHeight="1" x14ac:dyDescent="0.15">
      <c r="A24" s="3" t="s">
        <v>40</v>
      </c>
      <c r="B24" s="4"/>
      <c r="C24" s="4"/>
      <c r="D24" s="26" t="s">
        <v>41</v>
      </c>
      <c r="E24" s="7"/>
      <c r="F24" s="8"/>
    </row>
    <row r="25" spans="1:7" ht="18.5" customHeight="1" thickBot="1" x14ac:dyDescent="0.2">
      <c r="A25" s="3" t="s">
        <v>42</v>
      </c>
      <c r="B25" s="4"/>
      <c r="C25" s="6"/>
      <c r="D25" s="49" t="s">
        <v>43</v>
      </c>
      <c r="E25" s="50"/>
      <c r="F25" s="51"/>
    </row>
    <row r="26" spans="1:7" ht="18.5" customHeight="1" thickBot="1" x14ac:dyDescent="0.2">
      <c r="A26" s="110"/>
      <c r="B26" s="111"/>
      <c r="C26" s="111"/>
      <c r="D26" s="111"/>
      <c r="E26" s="111"/>
      <c r="F26" s="112"/>
    </row>
    <row r="27" spans="1:7" ht="18.5" customHeight="1" thickBot="1" x14ac:dyDescent="0.2">
      <c r="A27" s="63" t="s">
        <v>44</v>
      </c>
      <c r="B27" s="50"/>
      <c r="C27" s="51"/>
      <c r="D27" s="62" t="s">
        <v>45</v>
      </c>
      <c r="E27" s="50"/>
      <c r="F27" s="51"/>
    </row>
    <row r="28" spans="1:7" ht="18.5" customHeight="1" thickBot="1" x14ac:dyDescent="0.2">
      <c r="A28" s="47" t="s">
        <v>2</v>
      </c>
      <c r="B28" s="45"/>
      <c r="C28" s="45"/>
      <c r="D28" s="45"/>
      <c r="E28" s="45"/>
      <c r="F28" s="46"/>
    </row>
    <row r="29" spans="1:7" ht="14" thickBot="1" x14ac:dyDescent="0.2">
      <c r="A29" s="10" t="s">
        <v>3</v>
      </c>
      <c r="B29" s="11" t="s">
        <v>4</v>
      </c>
      <c r="C29" s="19" t="s">
        <v>5</v>
      </c>
      <c r="D29" s="11" t="s">
        <v>6</v>
      </c>
      <c r="E29" s="13" t="s">
        <v>7</v>
      </c>
      <c r="F29" s="12" t="s">
        <v>8</v>
      </c>
    </row>
    <row r="30" spans="1:7" x14ac:dyDescent="0.15">
      <c r="A30" s="14">
        <v>1</v>
      </c>
      <c r="B30" s="27">
        <v>1700</v>
      </c>
      <c r="C30" s="20" t="s">
        <v>46</v>
      </c>
      <c r="D30" s="30" t="s">
        <v>47</v>
      </c>
      <c r="E30" s="88">
        <v>2.15</v>
      </c>
      <c r="F30" s="68">
        <f>ROUND(B30*E30,2)</f>
        <v>3655</v>
      </c>
    </row>
    <row r="31" spans="1:7" x14ac:dyDescent="0.15">
      <c r="A31" s="15">
        <v>2</v>
      </c>
      <c r="B31" s="28">
        <v>1000</v>
      </c>
      <c r="C31" s="15" t="s">
        <v>46</v>
      </c>
      <c r="D31" s="31" t="s">
        <v>48</v>
      </c>
      <c r="E31" s="32">
        <v>1.4</v>
      </c>
      <c r="F31" s="69">
        <f t="shared" ref="F31:F95" si="0">ROUND(B31*E31,2)</f>
        <v>1400</v>
      </c>
    </row>
    <row r="32" spans="1:7" ht="23" customHeight="1" x14ac:dyDescent="0.15">
      <c r="A32" s="113">
        <v>3</v>
      </c>
      <c r="B32" s="114">
        <v>10</v>
      </c>
      <c r="C32" s="115" t="s">
        <v>49</v>
      </c>
      <c r="D32" s="116" t="s">
        <v>50</v>
      </c>
      <c r="E32" s="117">
        <v>187.5</v>
      </c>
      <c r="F32" s="118">
        <f t="shared" si="0"/>
        <v>1875</v>
      </c>
      <c r="G32" s="71"/>
    </row>
    <row r="33" spans="1:7" x14ac:dyDescent="0.15">
      <c r="A33" s="15"/>
      <c r="B33" s="28"/>
      <c r="C33" s="15"/>
      <c r="D33" s="31"/>
      <c r="E33" s="32"/>
      <c r="F33" s="72"/>
    </row>
    <row r="34" spans="1:7" x14ac:dyDescent="0.15">
      <c r="A34" s="14"/>
      <c r="B34" s="28"/>
      <c r="C34" s="15"/>
      <c r="D34" s="31"/>
      <c r="E34" s="32"/>
      <c r="F34" s="69"/>
    </row>
    <row r="35" spans="1:7" x14ac:dyDescent="0.15">
      <c r="A35" s="15"/>
      <c r="B35" s="28"/>
      <c r="C35" s="15"/>
      <c r="D35" s="31"/>
      <c r="E35" s="32"/>
      <c r="F35" s="69"/>
    </row>
    <row r="36" spans="1:7" x14ac:dyDescent="0.15">
      <c r="A36" s="14"/>
      <c r="B36" s="28"/>
      <c r="C36" s="15"/>
      <c r="D36" s="31"/>
      <c r="E36" s="32"/>
      <c r="F36" s="72"/>
    </row>
    <row r="37" spans="1:7" x14ac:dyDescent="0.15">
      <c r="A37" s="15"/>
      <c r="B37" s="28"/>
      <c r="C37" s="15"/>
      <c r="D37" s="31"/>
      <c r="E37" s="32"/>
      <c r="F37" s="72"/>
    </row>
    <row r="38" spans="1:7" x14ac:dyDescent="0.15">
      <c r="A38" s="14"/>
      <c r="B38" s="28"/>
      <c r="C38" s="15"/>
      <c r="D38" s="31"/>
      <c r="E38" s="32"/>
      <c r="F38" s="70"/>
      <c r="G38" s="71"/>
    </row>
    <row r="39" spans="1:7" x14ac:dyDescent="0.15">
      <c r="A39" s="15"/>
      <c r="B39" s="28"/>
      <c r="C39" s="15"/>
      <c r="D39" s="31"/>
      <c r="E39" s="32"/>
      <c r="F39" s="72"/>
    </row>
    <row r="40" spans="1:7" x14ac:dyDescent="0.15">
      <c r="A40" s="14"/>
      <c r="B40" s="28"/>
      <c r="C40" s="15"/>
      <c r="D40" s="31"/>
      <c r="E40" s="32"/>
      <c r="F40" s="69"/>
    </row>
    <row r="41" spans="1:7" x14ac:dyDescent="0.15">
      <c r="A41" s="15"/>
      <c r="B41" s="28"/>
      <c r="C41" s="15"/>
      <c r="D41" s="31"/>
      <c r="E41" s="32"/>
      <c r="F41" s="69"/>
    </row>
    <row r="42" spans="1:7" x14ac:dyDescent="0.15">
      <c r="A42" s="14"/>
      <c r="B42" s="28"/>
      <c r="C42" s="15"/>
      <c r="D42" s="31"/>
      <c r="E42" s="32"/>
      <c r="F42" s="69"/>
    </row>
    <row r="43" spans="1:7" x14ac:dyDescent="0.15">
      <c r="A43" s="15"/>
      <c r="B43" s="28"/>
      <c r="C43" s="15"/>
      <c r="D43" s="31"/>
      <c r="E43" s="32"/>
      <c r="F43" s="70"/>
      <c r="G43" s="71"/>
    </row>
    <row r="44" spans="1:7" x14ac:dyDescent="0.15">
      <c r="A44" s="14"/>
      <c r="B44" s="28"/>
      <c r="C44" s="15"/>
      <c r="D44" s="31"/>
      <c r="E44" s="32"/>
      <c r="F44" s="72"/>
    </row>
    <row r="45" spans="1:7" x14ac:dyDescent="0.15">
      <c r="A45" s="15"/>
      <c r="B45" s="28"/>
      <c r="C45" s="15"/>
      <c r="D45" s="31"/>
      <c r="E45" s="32"/>
      <c r="F45" s="72"/>
    </row>
    <row r="46" spans="1:7" x14ac:dyDescent="0.15">
      <c r="A46" s="14"/>
      <c r="B46" s="28"/>
      <c r="C46" s="15"/>
      <c r="D46" s="31"/>
      <c r="E46" s="32"/>
      <c r="F46" s="72"/>
    </row>
    <row r="47" spans="1:7" x14ac:dyDescent="0.15">
      <c r="A47" s="15"/>
      <c r="B47" s="28"/>
      <c r="C47" s="15"/>
      <c r="D47" s="31"/>
      <c r="E47" s="32"/>
      <c r="F47" s="69"/>
    </row>
    <row r="48" spans="1:7" x14ac:dyDescent="0.15">
      <c r="A48" s="14"/>
      <c r="B48" s="28"/>
      <c r="C48" s="15"/>
      <c r="D48" s="31"/>
      <c r="E48" s="32"/>
      <c r="F48" s="72"/>
    </row>
    <row r="49" spans="1:6" x14ac:dyDescent="0.15">
      <c r="A49" s="15"/>
      <c r="B49" s="28"/>
      <c r="C49" s="15"/>
      <c r="D49" s="31"/>
      <c r="E49" s="32"/>
      <c r="F49" s="69"/>
    </row>
    <row r="50" spans="1:6" x14ac:dyDescent="0.15">
      <c r="A50" s="14"/>
      <c r="B50" s="28"/>
      <c r="C50" s="15"/>
      <c r="D50" s="31"/>
      <c r="E50" s="32"/>
      <c r="F50" s="69"/>
    </row>
    <row r="51" spans="1:6" x14ac:dyDescent="0.15">
      <c r="A51" s="15"/>
      <c r="B51" s="28"/>
      <c r="C51" s="15"/>
      <c r="D51" s="31"/>
      <c r="E51" s="32"/>
      <c r="F51" s="72"/>
    </row>
    <row r="52" spans="1:6" x14ac:dyDescent="0.15">
      <c r="A52" s="14"/>
      <c r="B52" s="28"/>
      <c r="C52" s="15"/>
      <c r="D52" s="31"/>
      <c r="E52" s="32"/>
      <c r="F52" s="69"/>
    </row>
    <row r="53" spans="1:6" x14ac:dyDescent="0.15">
      <c r="A53" s="15"/>
      <c r="B53" s="28"/>
      <c r="C53" s="15"/>
      <c r="D53" s="31"/>
      <c r="E53" s="32"/>
      <c r="F53" s="69"/>
    </row>
    <row r="54" spans="1:6" x14ac:dyDescent="0.15">
      <c r="A54" s="14"/>
      <c r="B54" s="28"/>
      <c r="C54" s="15"/>
      <c r="D54" s="31"/>
      <c r="E54" s="32"/>
      <c r="F54" s="72"/>
    </row>
    <row r="55" spans="1:6" x14ac:dyDescent="0.15">
      <c r="A55" s="15"/>
      <c r="B55" s="28"/>
      <c r="C55" s="15"/>
      <c r="D55" s="31"/>
      <c r="E55" s="32"/>
      <c r="F55" s="69"/>
    </row>
    <row r="56" spans="1:6" x14ac:dyDescent="0.15">
      <c r="A56" s="14"/>
      <c r="B56" s="28"/>
      <c r="C56" s="15"/>
      <c r="D56" s="31"/>
      <c r="E56" s="32"/>
      <c r="F56" s="69"/>
    </row>
    <row r="57" spans="1:6" x14ac:dyDescent="0.15">
      <c r="A57" s="15"/>
      <c r="B57" s="28"/>
      <c r="C57" s="15"/>
      <c r="D57" s="31"/>
      <c r="E57" s="32"/>
      <c r="F57" s="69"/>
    </row>
    <row r="58" spans="1:6" x14ac:dyDescent="0.15">
      <c r="A58" s="14"/>
      <c r="B58" s="28"/>
      <c r="C58" s="15"/>
      <c r="D58" s="31"/>
      <c r="E58" s="32"/>
      <c r="F58" s="69"/>
    </row>
    <row r="59" spans="1:6" x14ac:dyDescent="0.15">
      <c r="A59" s="15"/>
      <c r="B59" s="28"/>
      <c r="C59" s="15"/>
      <c r="D59" s="31"/>
      <c r="E59" s="32"/>
      <c r="F59" s="69"/>
    </row>
    <row r="60" spans="1:6" x14ac:dyDescent="0.15">
      <c r="A60" s="14"/>
      <c r="B60" s="28"/>
      <c r="C60" s="15"/>
      <c r="D60" s="31"/>
      <c r="E60" s="32"/>
      <c r="F60" s="69"/>
    </row>
    <row r="61" spans="1:6" x14ac:dyDescent="0.15">
      <c r="A61" s="15"/>
      <c r="B61" s="28"/>
      <c r="C61" s="15"/>
      <c r="D61" s="31"/>
      <c r="E61" s="32"/>
      <c r="F61" s="69"/>
    </row>
    <row r="62" spans="1:6" x14ac:dyDescent="0.15">
      <c r="A62" s="14"/>
      <c r="B62" s="28"/>
      <c r="C62" s="15"/>
      <c r="D62" s="31"/>
      <c r="E62" s="32"/>
      <c r="F62" s="69"/>
    </row>
    <row r="63" spans="1:6" x14ac:dyDescent="0.15">
      <c r="A63" s="15"/>
      <c r="B63" s="28"/>
      <c r="C63" s="15"/>
      <c r="D63" s="31"/>
      <c r="E63" s="32"/>
      <c r="F63" s="69"/>
    </row>
    <row r="64" spans="1:6" x14ac:dyDescent="0.15">
      <c r="A64" s="14"/>
      <c r="B64" s="28"/>
      <c r="C64" s="15"/>
      <c r="D64" s="31"/>
      <c r="E64" s="32"/>
      <c r="F64" s="69"/>
    </row>
    <row r="65" spans="1:6" x14ac:dyDescent="0.15">
      <c r="A65" s="15"/>
      <c r="B65" s="28"/>
      <c r="C65" s="15"/>
      <c r="D65" s="31"/>
      <c r="E65" s="32"/>
      <c r="F65" s="69"/>
    </row>
    <row r="66" spans="1:6" x14ac:dyDescent="0.15">
      <c r="A66" s="14"/>
      <c r="B66" s="28"/>
      <c r="C66" s="15"/>
      <c r="D66" s="31"/>
      <c r="E66" s="32"/>
      <c r="F66" s="69"/>
    </row>
    <row r="67" spans="1:6" x14ac:dyDescent="0.15">
      <c r="A67" s="15"/>
      <c r="B67" s="28"/>
      <c r="C67" s="15"/>
      <c r="D67" s="31"/>
      <c r="E67" s="32"/>
      <c r="F67" s="69"/>
    </row>
    <row r="68" spans="1:6" x14ac:dyDescent="0.15">
      <c r="A68" s="14"/>
      <c r="B68" s="28"/>
      <c r="C68" s="15"/>
      <c r="D68" s="31"/>
      <c r="E68" s="32"/>
      <c r="F68" s="69"/>
    </row>
    <row r="69" spans="1:6" x14ac:dyDescent="0.15">
      <c r="A69" s="15"/>
      <c r="B69" s="28"/>
      <c r="C69" s="15"/>
      <c r="D69" s="31"/>
      <c r="E69" s="32"/>
      <c r="F69" s="69"/>
    </row>
    <row r="70" spans="1:6" x14ac:dyDescent="0.15">
      <c r="A70" s="14"/>
      <c r="B70" s="28"/>
      <c r="C70" s="15"/>
      <c r="D70" s="31"/>
      <c r="E70" s="32"/>
      <c r="F70" s="69"/>
    </row>
    <row r="71" spans="1:6" x14ac:dyDescent="0.15">
      <c r="A71" s="15"/>
      <c r="B71" s="28"/>
      <c r="C71" s="15"/>
      <c r="D71" s="31"/>
      <c r="E71" s="32"/>
      <c r="F71" s="69"/>
    </row>
    <row r="72" spans="1:6" x14ac:dyDescent="0.15">
      <c r="A72" s="14"/>
      <c r="B72" s="28"/>
      <c r="C72" s="15"/>
      <c r="D72" s="31"/>
      <c r="E72" s="32"/>
      <c r="F72" s="69"/>
    </row>
    <row r="73" spans="1:6" x14ac:dyDescent="0.15">
      <c r="A73" s="15"/>
      <c r="B73" s="28"/>
      <c r="C73" s="15"/>
      <c r="D73" s="31"/>
      <c r="E73" s="32"/>
      <c r="F73" s="69"/>
    </row>
    <row r="74" spans="1:6" x14ac:dyDescent="0.15">
      <c r="A74" s="14"/>
      <c r="B74" s="28"/>
      <c r="C74" s="15"/>
      <c r="D74" s="31"/>
      <c r="E74" s="32"/>
      <c r="F74" s="69"/>
    </row>
    <row r="75" spans="1:6" x14ac:dyDescent="0.15">
      <c r="A75" s="15"/>
      <c r="B75" s="28"/>
      <c r="C75" s="15"/>
      <c r="D75" s="31"/>
      <c r="E75" s="32"/>
      <c r="F75" s="69"/>
    </row>
    <row r="76" spans="1:6" x14ac:dyDescent="0.15">
      <c r="A76" s="14"/>
      <c r="B76" s="28"/>
      <c r="C76" s="15"/>
      <c r="D76" s="31"/>
      <c r="E76" s="32"/>
      <c r="F76" s="69"/>
    </row>
    <row r="77" spans="1:6" x14ac:dyDescent="0.15">
      <c r="A77" s="15"/>
      <c r="B77" s="28"/>
      <c r="C77" s="15"/>
      <c r="D77" s="31"/>
      <c r="E77" s="32"/>
      <c r="F77" s="69"/>
    </row>
    <row r="78" spans="1:6" x14ac:dyDescent="0.15">
      <c r="A78" s="14"/>
      <c r="B78" s="28"/>
      <c r="C78" s="15"/>
      <c r="D78" s="31"/>
      <c r="E78" s="32"/>
      <c r="F78" s="69"/>
    </row>
    <row r="79" spans="1:6" x14ac:dyDescent="0.15">
      <c r="A79" s="15"/>
      <c r="B79" s="28"/>
      <c r="C79" s="15"/>
      <c r="D79" s="31"/>
      <c r="E79" s="32"/>
      <c r="F79" s="69"/>
    </row>
    <row r="80" spans="1:6" x14ac:dyDescent="0.15">
      <c r="A80" s="14"/>
      <c r="B80" s="28"/>
      <c r="C80" s="15"/>
      <c r="D80" s="31"/>
      <c r="E80" s="32"/>
      <c r="F80" s="69"/>
    </row>
    <row r="81" spans="1:8" x14ac:dyDescent="0.15">
      <c r="A81" s="15"/>
      <c r="B81" s="28"/>
      <c r="C81" s="15"/>
      <c r="D81" s="31"/>
      <c r="E81" s="32"/>
      <c r="F81" s="69"/>
    </row>
    <row r="82" spans="1:8" x14ac:dyDescent="0.15">
      <c r="A82" s="14"/>
      <c r="B82" s="28"/>
      <c r="C82" s="15"/>
      <c r="D82" s="31"/>
      <c r="E82" s="32"/>
      <c r="F82" s="69"/>
    </row>
    <row r="83" spans="1:8" x14ac:dyDescent="0.15">
      <c r="A83" s="15"/>
      <c r="B83" s="28"/>
      <c r="C83" s="15"/>
      <c r="D83" s="31"/>
      <c r="E83" s="32"/>
      <c r="F83" s="69"/>
    </row>
    <row r="84" spans="1:8" x14ac:dyDescent="0.15">
      <c r="A84" s="14"/>
      <c r="B84" s="28"/>
      <c r="C84" s="15"/>
      <c r="D84" s="31"/>
      <c r="E84" s="32"/>
      <c r="F84" s="69"/>
    </row>
    <row r="85" spans="1:8" x14ac:dyDescent="0.15">
      <c r="A85" s="15"/>
      <c r="B85" s="29"/>
      <c r="C85" s="9"/>
      <c r="D85" s="24"/>
      <c r="E85" s="32"/>
      <c r="F85" s="69"/>
    </row>
    <row r="86" spans="1:8" x14ac:dyDescent="0.15">
      <c r="A86" s="14"/>
      <c r="B86" s="29"/>
      <c r="C86" s="9"/>
      <c r="D86" s="24"/>
      <c r="E86" s="32"/>
      <c r="F86" s="69"/>
    </row>
    <row r="87" spans="1:8" x14ac:dyDescent="0.15">
      <c r="A87" s="15"/>
      <c r="B87" s="29"/>
      <c r="C87" s="9"/>
      <c r="D87" s="24"/>
      <c r="E87" s="32"/>
      <c r="F87" s="69"/>
    </row>
    <row r="88" spans="1:8" x14ac:dyDescent="0.15">
      <c r="A88" s="14"/>
      <c r="B88" s="29"/>
      <c r="C88" s="9"/>
      <c r="D88" s="24"/>
      <c r="E88" s="32"/>
      <c r="F88" s="69"/>
    </row>
    <row r="89" spans="1:8" x14ac:dyDescent="0.15">
      <c r="A89" s="15"/>
      <c r="B89" s="29"/>
      <c r="C89" s="9"/>
      <c r="D89" s="24"/>
      <c r="E89" s="32"/>
      <c r="F89" s="69"/>
    </row>
    <row r="90" spans="1:8" x14ac:dyDescent="0.15">
      <c r="A90" s="14"/>
      <c r="B90" s="29"/>
      <c r="C90" s="9"/>
      <c r="D90" s="24"/>
      <c r="E90" s="32"/>
      <c r="F90" s="69"/>
    </row>
    <row r="91" spans="1:8" x14ac:dyDescent="0.15">
      <c r="A91" s="15"/>
      <c r="B91" s="29"/>
      <c r="C91" s="9"/>
      <c r="D91" s="24"/>
      <c r="E91" s="32"/>
      <c r="F91" s="69"/>
    </row>
    <row r="92" spans="1:8" x14ac:dyDescent="0.15">
      <c r="A92" s="14"/>
      <c r="B92" s="29"/>
      <c r="C92" s="9"/>
      <c r="D92" s="24"/>
      <c r="E92" s="32"/>
      <c r="F92" s="69"/>
      <c r="H92" s="1"/>
    </row>
    <row r="93" spans="1:8" x14ac:dyDescent="0.15">
      <c r="A93" s="15"/>
      <c r="B93" s="29"/>
      <c r="C93" s="9"/>
      <c r="D93" s="24"/>
      <c r="E93" s="32"/>
      <c r="F93" s="69"/>
      <c r="H93" s="1"/>
    </row>
    <row r="94" spans="1:8" x14ac:dyDescent="0.15">
      <c r="A94" s="14"/>
      <c r="B94" s="29"/>
      <c r="C94" s="9"/>
      <c r="D94" s="24"/>
      <c r="E94" s="32"/>
      <c r="F94" s="69"/>
      <c r="H94" s="1"/>
    </row>
    <row r="95" spans="1:8" x14ac:dyDescent="0.15">
      <c r="A95" s="15"/>
      <c r="B95" s="29"/>
      <c r="C95" s="9"/>
      <c r="D95" s="24"/>
      <c r="E95" s="32"/>
      <c r="F95" s="69"/>
      <c r="H95" s="1"/>
    </row>
    <row r="96" spans="1:8" x14ac:dyDescent="0.15">
      <c r="A96" s="14"/>
      <c r="B96" s="21"/>
      <c r="C96" s="9"/>
      <c r="D96" s="25"/>
      <c r="E96" s="22"/>
      <c r="F96" s="73" t="str">
        <f t="shared" ref="F96:F97" si="1">IF(OR(B96="",E96=""),"",ROUND(B96*E96,2))</f>
        <v/>
      </c>
      <c r="H96" s="1"/>
    </row>
    <row r="97" spans="1:8" x14ac:dyDescent="0.15">
      <c r="A97" s="15"/>
      <c r="B97" s="21"/>
      <c r="C97" s="9"/>
      <c r="D97" s="25"/>
      <c r="E97" s="22"/>
      <c r="F97" s="73" t="str">
        <f t="shared" si="1"/>
        <v/>
      </c>
      <c r="H97" s="1"/>
    </row>
    <row r="98" spans="1:8" x14ac:dyDescent="0.15">
      <c r="A98" s="14"/>
      <c r="B98" s="21"/>
      <c r="C98" s="9"/>
      <c r="D98" s="25"/>
      <c r="E98" s="22"/>
      <c r="F98" s="73" t="str">
        <f t="shared" ref="F98:F101" si="2">IF(OR(B98="",E98=""),"",ROUND(B98*E98,2))</f>
        <v/>
      </c>
      <c r="H98" s="1"/>
    </row>
    <row r="99" spans="1:8" x14ac:dyDescent="0.15">
      <c r="A99" s="15"/>
      <c r="B99" s="21"/>
      <c r="C99" s="9"/>
      <c r="D99" s="25"/>
      <c r="E99" s="22"/>
      <c r="F99" s="73" t="str">
        <f t="shared" si="2"/>
        <v/>
      </c>
      <c r="H99" s="1"/>
    </row>
    <row r="100" spans="1:8" x14ac:dyDescent="0.15">
      <c r="A100" s="14"/>
      <c r="B100" s="21"/>
      <c r="C100" s="9"/>
      <c r="D100" s="25"/>
      <c r="E100" s="22"/>
      <c r="F100" s="73" t="str">
        <f t="shared" si="2"/>
        <v/>
      </c>
      <c r="H100" s="1"/>
    </row>
    <row r="101" spans="1:8" x14ac:dyDescent="0.15">
      <c r="A101" s="15"/>
      <c r="B101" s="21"/>
      <c r="C101" s="9"/>
      <c r="D101" s="25"/>
      <c r="E101" s="22"/>
      <c r="F101" s="73" t="str">
        <f t="shared" si="2"/>
        <v/>
      </c>
      <c r="H101" s="1"/>
    </row>
    <row r="102" spans="1:8" x14ac:dyDescent="0.15">
      <c r="A102" s="14"/>
      <c r="B102" s="21"/>
      <c r="C102" s="9"/>
      <c r="D102" s="25"/>
      <c r="E102" s="22"/>
      <c r="F102" s="73" t="str">
        <f t="shared" ref="F102:F104" si="3">IF(OR(B102="",E102=""),"",ROUND(B102*E102,2))</f>
        <v/>
      </c>
      <c r="H102" s="1"/>
    </row>
    <row r="103" spans="1:8" x14ac:dyDescent="0.15">
      <c r="A103" s="15"/>
      <c r="B103" s="21"/>
      <c r="C103" s="9"/>
      <c r="D103" s="25"/>
      <c r="E103" s="22"/>
      <c r="F103" s="73" t="str">
        <f t="shared" si="3"/>
        <v/>
      </c>
      <c r="H103" s="1"/>
    </row>
    <row r="104" spans="1:8" x14ac:dyDescent="0.15">
      <c r="A104" s="14"/>
      <c r="B104" s="21"/>
      <c r="C104" s="9"/>
      <c r="D104" s="25"/>
      <c r="E104" s="22"/>
      <c r="F104" s="73" t="str">
        <f t="shared" si="3"/>
        <v/>
      </c>
      <c r="H104" s="1"/>
    </row>
    <row r="105" spans="1:8" x14ac:dyDescent="0.15">
      <c r="A105" s="15"/>
      <c r="B105" s="21"/>
      <c r="C105" s="9"/>
      <c r="D105" s="25"/>
      <c r="E105" s="22"/>
      <c r="F105" s="73" t="str">
        <f t="shared" ref="F105:F109" si="4">IF(OR(B105="",E105=""),"",ROUND(B105*E105,2))</f>
        <v/>
      </c>
      <c r="H105" s="1"/>
    </row>
    <row r="106" spans="1:8" x14ac:dyDescent="0.15">
      <c r="A106" s="14"/>
      <c r="B106" s="21"/>
      <c r="C106" s="9"/>
      <c r="D106" s="25"/>
      <c r="E106" s="22"/>
      <c r="F106" s="73" t="str">
        <f t="shared" si="4"/>
        <v/>
      </c>
      <c r="H106" s="1"/>
    </row>
    <row r="107" spans="1:8" x14ac:dyDescent="0.15">
      <c r="A107" s="15"/>
      <c r="B107" s="21"/>
      <c r="C107" s="9"/>
      <c r="D107" s="25"/>
      <c r="E107" s="22"/>
      <c r="F107" s="73" t="str">
        <f t="shared" si="4"/>
        <v/>
      </c>
      <c r="H107" s="1"/>
    </row>
    <row r="108" spans="1:8" x14ac:dyDescent="0.15">
      <c r="A108" s="14"/>
      <c r="B108" s="21"/>
      <c r="C108" s="9"/>
      <c r="D108" s="25"/>
      <c r="E108" s="22"/>
      <c r="F108" s="73" t="str">
        <f t="shared" si="4"/>
        <v/>
      </c>
      <c r="H108" s="1"/>
    </row>
    <row r="109" spans="1:8" ht="14" thickBot="1" x14ac:dyDescent="0.2">
      <c r="A109" s="82"/>
      <c r="B109" s="83"/>
      <c r="C109" s="84"/>
      <c r="D109" s="85"/>
      <c r="E109" s="86"/>
      <c r="F109" s="87" t="str">
        <f t="shared" si="4"/>
        <v/>
      </c>
      <c r="H109" s="1"/>
    </row>
    <row r="110" spans="1:8" x14ac:dyDescent="0.15">
      <c r="A110" s="80" t="s">
        <v>51</v>
      </c>
      <c r="B110" s="78"/>
      <c r="C110" s="78"/>
      <c r="D110" s="78"/>
      <c r="E110" s="81" t="s">
        <v>52</v>
      </c>
      <c r="F110" s="73">
        <f>SUM(F30:F95)</f>
        <v>6930</v>
      </c>
      <c r="H110" s="1"/>
    </row>
    <row r="111" spans="1:8" x14ac:dyDescent="0.15">
      <c r="A111" s="78"/>
      <c r="B111" s="78"/>
      <c r="C111" s="78"/>
      <c r="D111" s="78"/>
      <c r="E111" s="23" t="s">
        <v>53</v>
      </c>
      <c r="F111" s="74">
        <v>0</v>
      </c>
      <c r="H111" s="1"/>
    </row>
    <row r="112" spans="1:8" x14ac:dyDescent="0.15">
      <c r="A112" s="78"/>
      <c r="B112" s="78"/>
      <c r="C112" s="78"/>
      <c r="D112" s="78"/>
      <c r="E112" s="23" t="s">
        <v>54</v>
      </c>
      <c r="F112" s="74">
        <v>0</v>
      </c>
      <c r="H112" s="1"/>
    </row>
    <row r="113" spans="1:8" ht="14" thickBot="1" x14ac:dyDescent="0.2">
      <c r="A113" s="79"/>
      <c r="B113" s="79"/>
      <c r="C113" s="79"/>
      <c r="D113" s="79"/>
      <c r="E113" s="76" t="s">
        <v>55</v>
      </c>
      <c r="F113" s="77">
        <f>F110+F111-F112</f>
        <v>6930</v>
      </c>
      <c r="H113" s="1"/>
    </row>
    <row r="114" spans="1:8" x14ac:dyDescent="0.15">
      <c r="A114" s="18"/>
      <c r="B114" s="16"/>
      <c r="C114" s="16"/>
      <c r="D114" s="16"/>
      <c r="E114" s="75"/>
      <c r="F114" s="17"/>
      <c r="H114" s="1"/>
    </row>
    <row r="115" spans="1:8" x14ac:dyDescent="0.15">
      <c r="H115" s="1"/>
    </row>
    <row r="116" spans="1:8" x14ac:dyDescent="0.15">
      <c r="H116" s="1"/>
    </row>
    <row r="117" spans="1:8" x14ac:dyDescent="0.15">
      <c r="H117" s="1"/>
    </row>
    <row r="118" spans="1:8" x14ac:dyDescent="0.15">
      <c r="H118" s="1"/>
    </row>
    <row r="119" spans="1:8" x14ac:dyDescent="0.15">
      <c r="H119" s="1"/>
    </row>
    <row r="120" spans="1:8" x14ac:dyDescent="0.15">
      <c r="H120" s="1"/>
    </row>
    <row r="121" spans="1:8" x14ac:dyDescent="0.15">
      <c r="H121" s="1"/>
    </row>
    <row r="122" spans="1:8" x14ac:dyDescent="0.15">
      <c r="H122" s="1"/>
    </row>
    <row r="123" spans="1:8" x14ac:dyDescent="0.15">
      <c r="H123" s="1"/>
    </row>
    <row r="124" spans="1:8" x14ac:dyDescent="0.15">
      <c r="H124" s="1"/>
    </row>
    <row r="125" spans="1:8" x14ac:dyDescent="0.15">
      <c r="H125" s="1"/>
    </row>
    <row r="126" spans="1:8" x14ac:dyDescent="0.15">
      <c r="H126" s="1"/>
    </row>
    <row r="127" spans="1:8" x14ac:dyDescent="0.15">
      <c r="H127" s="1"/>
    </row>
    <row r="128" spans="1:8" x14ac:dyDescent="0.15">
      <c r="H128" s="1"/>
    </row>
    <row r="129" spans="8:8" x14ac:dyDescent="0.15">
      <c r="H129" s="1"/>
    </row>
    <row r="130" spans="8:8" x14ac:dyDescent="0.15">
      <c r="H130" s="1"/>
    </row>
    <row r="131" spans="8:8" x14ac:dyDescent="0.15">
      <c r="H131" s="1"/>
    </row>
    <row r="132" spans="8:8" x14ac:dyDescent="0.15">
      <c r="H132" s="1"/>
    </row>
    <row r="133" spans="8:8" x14ac:dyDescent="0.15">
      <c r="H133" s="1"/>
    </row>
    <row r="134" spans="8:8" x14ac:dyDescent="0.15">
      <c r="H134" s="1"/>
    </row>
    <row r="160" spans="7:7" x14ac:dyDescent="0.15">
      <c r="G160" s="2"/>
    </row>
    <row r="161" spans="7:7" x14ac:dyDescent="0.15">
      <c r="G161" s="2"/>
    </row>
    <row r="162" spans="7:7" x14ac:dyDescent="0.15">
      <c r="G162" s="2"/>
    </row>
    <row r="163" spans="7:7" x14ac:dyDescent="0.15">
      <c r="G163" s="2"/>
    </row>
    <row r="164" spans="7:7" x14ac:dyDescent="0.15">
      <c r="G164" s="2"/>
    </row>
    <row r="165" spans="7:7" x14ac:dyDescent="0.15">
      <c r="G165" s="2"/>
    </row>
    <row r="166" spans="7:7" x14ac:dyDescent="0.15">
      <c r="G166" s="2"/>
    </row>
    <row r="167" spans="7:7" x14ac:dyDescent="0.15">
      <c r="G167" s="2"/>
    </row>
    <row r="168" spans="7:7" x14ac:dyDescent="0.15">
      <c r="G168" s="2"/>
    </row>
    <row r="169" spans="7:7" x14ac:dyDescent="0.15">
      <c r="G169" s="2"/>
    </row>
    <row r="170" spans="7:7" x14ac:dyDescent="0.15">
      <c r="G170" s="2"/>
    </row>
    <row r="171" spans="7:7" x14ac:dyDescent="0.15">
      <c r="G171" s="2"/>
    </row>
    <row r="172" spans="7:7" x14ac:dyDescent="0.15">
      <c r="G172" s="2"/>
    </row>
    <row r="173" spans="7:7" x14ac:dyDescent="0.15">
      <c r="G173" s="2"/>
    </row>
    <row r="174" spans="7:7" x14ac:dyDescent="0.15">
      <c r="G174" s="2"/>
    </row>
    <row r="175" spans="7:7" x14ac:dyDescent="0.15">
      <c r="G175" s="2"/>
    </row>
    <row r="176" spans="7:7" x14ac:dyDescent="0.15">
      <c r="G176" s="2"/>
    </row>
    <row r="177" spans="7:7" x14ac:dyDescent="0.15">
      <c r="G177" s="2"/>
    </row>
    <row r="178" spans="7:7" x14ac:dyDescent="0.15">
      <c r="G178" s="2"/>
    </row>
    <row r="179" spans="7:7" x14ac:dyDescent="0.15">
      <c r="G179" s="2"/>
    </row>
    <row r="212" spans="8:8" x14ac:dyDescent="0.15">
      <c r="H212" s="2"/>
    </row>
    <row r="213" spans="8:8" x14ac:dyDescent="0.15">
      <c r="H213" s="2"/>
    </row>
  </sheetData>
  <mergeCells count="46">
    <mergeCell ref="A22:F22"/>
    <mergeCell ref="A26:F26"/>
    <mergeCell ref="A110:D113"/>
    <mergeCell ref="D16:F16"/>
    <mergeCell ref="A2:F2"/>
    <mergeCell ref="A5:C5"/>
    <mergeCell ref="A23:C23"/>
    <mergeCell ref="A14:C14"/>
    <mergeCell ref="D4:F4"/>
    <mergeCell ref="A8:C8"/>
    <mergeCell ref="A17:C17"/>
    <mergeCell ref="D18:F18"/>
    <mergeCell ref="D9:F9"/>
    <mergeCell ref="A4:C4"/>
    <mergeCell ref="D25:F25"/>
    <mergeCell ref="D15:F15"/>
    <mergeCell ref="D27:F27"/>
    <mergeCell ref="A18:C18"/>
    <mergeCell ref="A28:F28"/>
    <mergeCell ref="D5:F5"/>
    <mergeCell ref="D23:F23"/>
    <mergeCell ref="A9:C9"/>
    <mergeCell ref="A15:C15"/>
    <mergeCell ref="A11:C11"/>
    <mergeCell ref="A12:C12"/>
    <mergeCell ref="A27:C27"/>
    <mergeCell ref="D17:F17"/>
    <mergeCell ref="A21:C21"/>
    <mergeCell ref="A13:F13"/>
    <mergeCell ref="D12:F12"/>
    <mergeCell ref="D11:F11"/>
    <mergeCell ref="D10:F10"/>
    <mergeCell ref="D8:F8"/>
    <mergeCell ref="A1:F1"/>
    <mergeCell ref="A6:C6"/>
    <mergeCell ref="D21:F21"/>
    <mergeCell ref="A7:C7"/>
    <mergeCell ref="A16:C16"/>
    <mergeCell ref="A10:C10"/>
    <mergeCell ref="D14:F14"/>
    <mergeCell ref="A19:C19"/>
    <mergeCell ref="A3:F3"/>
    <mergeCell ref="D7:F7"/>
    <mergeCell ref="D6:F6"/>
    <mergeCell ref="D19:F19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Barcelos</cp:lastModifiedBy>
  <dcterms:created xsi:type="dcterms:W3CDTF">2026-05-21T21:38:48Z</dcterms:created>
  <dcterms:modified xsi:type="dcterms:W3CDTF">2026-05-21T21:42:10Z</dcterms:modified>
</cp:coreProperties>
</file>